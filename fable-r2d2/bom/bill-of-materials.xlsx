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Electronics" sheetId="2" state="visible" r:id="rId2"/>
    <sheet xmlns:r="http://schemas.openxmlformats.org/officeDocument/2006/relationships" name="Hardware" sheetId="3" state="visible" r:id="rId3"/>
    <sheet xmlns:r="http://schemas.openxmlformats.org/officeDocument/2006/relationships" name="Printed parts" sheetId="4" state="visible" r:id="rId4"/>
    <sheet xmlns:r="http://schemas.openxmlformats.org/officeDocument/2006/relationships" name="Filament" sheetId="5" state="visible" r:id="rId5"/>
    <sheet xmlns:r="http://schemas.openxmlformats.org/officeDocument/2006/relationships" name="Revision D changes" sheetId="6" state="visible" r:id="rId6"/>
    <sheet xmlns:r="http://schemas.openxmlformats.org/officeDocument/2006/relationships" name="Stock notes" sheetId="7" state="visible" r:id="rId7"/>
    <sheet xmlns:r="http://schemas.openxmlformats.org/officeDocument/2006/relationships" name="Sources" sheetId="8" state="visible" r:id="rId8"/>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b val="1"/>
      <color rgb="00FFFFFF"/>
    </font>
    <font>
      <color rgb="000B5394"/>
      <u val="single"/>
    </font>
    <font>
      <b val="1"/>
    </font>
    <font>
      <b val="1"/>
      <sz val="14"/>
    </font>
    <font/>
  </fonts>
  <fills count="3">
    <fill>
      <patternFill/>
    </fill>
    <fill>
      <patternFill patternType="gray125"/>
    </fill>
    <fill>
      <patternFill patternType="solid">
        <fgColor rgb="001F3A5F"/>
      </patternFill>
    </fill>
  </fills>
  <borders count="2">
    <border>
      <left/>
      <right/>
      <top/>
      <bottom/>
      <diagonal/>
    </border>
    <border>
      <left style="thin">
        <color rgb="00B8C2CC"/>
      </left>
      <right style="thin">
        <color rgb="00B8C2CC"/>
      </right>
      <top style="thin">
        <color rgb="00B8C2CC"/>
      </top>
      <bottom style="thin">
        <color rgb="00B8C2CC"/>
      </bottom>
    </border>
  </borders>
  <cellStyleXfs count="1">
    <xf numFmtId="0" fontId="0" fillId="0" borderId="0"/>
  </cellStyleXfs>
  <cellXfs count="18">
    <xf numFmtId="0" fontId="0" fillId="0" borderId="0" pivotButton="0" quotePrefix="0" xfId="0"/>
    <xf numFmtId="0" fontId="4" fillId="0" borderId="0" pivotButton="0" quotePrefix="0" xfId="0"/>
    <xf numFmtId="0" fontId="0" fillId="0" borderId="0" applyAlignment="1" pivotButton="0" quotePrefix="0" xfId="0">
      <alignment wrapText="1"/>
    </xf>
    <xf numFmtId="0" fontId="5" fillId="0" borderId="0" pivotButton="0" quotePrefix="0" xfId="0"/>
    <xf numFmtId="164" fontId="0" fillId="0" borderId="0" pivotButton="0" quotePrefix="0" xfId="0"/>
    <xf numFmtId="0" fontId="3" fillId="0" borderId="0" pivotButton="0" quotePrefix="0" xfId="0"/>
    <xf numFmtId="164" fontId="3"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0" borderId="1" applyAlignment="1" pivotButton="0" quotePrefix="0" xfId="0">
      <alignment vertical="top"/>
    </xf>
    <xf numFmtId="164" fontId="0" fillId="0" borderId="1" applyAlignment="1" pivotButton="0" quotePrefix="0" xfId="0">
      <alignment vertical="top"/>
    </xf>
    <xf numFmtId="164" fontId="0" fillId="0" borderId="1" pivotButton="0" quotePrefix="0" xfId="0"/>
    <xf numFmtId="0" fontId="2" fillId="0" borderId="0" pivotButton="0" quotePrefix="0" xfId="0"/>
    <xf numFmtId="0" fontId="0" fillId="0" borderId="1"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adafruit.com/product/4296" TargetMode="External" Id="rId1"/><Relationship Type="http://schemas.openxmlformats.org/officeDocument/2006/relationships/hyperlink" Target="https://www.adafruit.com/product/5302" TargetMode="External" Id="rId2"/><Relationship Type="http://schemas.openxmlformats.org/officeDocument/2006/relationships/hyperlink" Target="https://www.adafruit.com/product/3297" TargetMode="External" Id="rId3"/><Relationship Type="http://schemas.openxmlformats.org/officeDocument/2006/relationships/hyperlink" Target="https://www.adafruit.com/product/3297" TargetMode="External" Id="rId4"/><Relationship Type="http://schemas.openxmlformats.org/officeDocument/2006/relationships/hyperlink" Target="https://www.adafruit.com/product/3297" TargetMode="External" Id="rId5"/><Relationship Type="http://schemas.openxmlformats.org/officeDocument/2006/relationships/hyperlink" Target="https://www.adafruit.com/product/3297" TargetMode="External" Id="rId6"/><Relationship Type="http://schemas.openxmlformats.org/officeDocument/2006/relationships/hyperlink" Target="https://www.pololu.com/product/4091" TargetMode="External" Id="rId7"/><Relationship Type="http://schemas.openxmlformats.org/officeDocument/2006/relationships/hyperlink" Target="https://www.pololu.com/product/4092" TargetMode="External" Id="rId8"/><Relationship Type="http://schemas.openxmlformats.org/officeDocument/2006/relationships/hyperlink" Target="https://www.pololu.com/product/4092" TargetMode="External" Id="rId9"/><Relationship Type="http://schemas.openxmlformats.org/officeDocument/2006/relationships/hyperlink" Target="https://www.adafruit.com/product/2130" TargetMode="External" Id="rId10"/><Relationship Type="http://schemas.openxmlformats.org/officeDocument/2006/relationships/hyperlink" Target="https://www.adafruit.com/product/1085" TargetMode="External" Id="rId11"/><Relationship Type="http://schemas.openxmlformats.org/officeDocument/2006/relationships/hyperlink" Target="https://www.adafruit.com/product/3190" TargetMode="External" Id="rId12"/><Relationship Type="http://schemas.openxmlformats.org/officeDocument/2006/relationships/hyperlink" Target="https://www.adafruit.com/product/757" TargetMode="External" Id="rId13"/><Relationship Type="http://schemas.openxmlformats.org/officeDocument/2006/relationships/hyperlink" Target="https://www.adafruit.com/product/1195" TargetMode="External" Id="rId14"/><Relationship Type="http://schemas.openxmlformats.org/officeDocument/2006/relationships/hyperlink" Target="https://www.adafruit.com/product/872" TargetMode="External" Id="rId15"/><Relationship Type="http://schemas.openxmlformats.org/officeDocument/2006/relationships/hyperlink" Target="https://www.adafruit.com/product/872" TargetMode="External" Id="rId16"/><Relationship Type="http://schemas.openxmlformats.org/officeDocument/2006/relationships/hyperlink" Target="https://www.adafruit.com/product/870" TargetMode="External" Id="rId17"/><Relationship Type="http://schemas.openxmlformats.org/officeDocument/2006/relationships/hyperlink" Target="https://www.adafruit.com/product/870" TargetMode="External" Id="rId18"/><Relationship Type="http://schemas.openxmlformats.org/officeDocument/2006/relationships/hyperlink" Target="https://www.adafruit.com/product/6178" TargetMode="External" Id="rId19"/><Relationship Type="http://schemas.openxmlformats.org/officeDocument/2006/relationships/hyperlink" Target="https://www.adafruit.com/product/2226" TargetMode="External" Id="rId20"/><Relationship Type="http://schemas.openxmlformats.org/officeDocument/2006/relationships/hyperlink" Target="https://www.adafruit.com/product/2226" TargetMode="External" Id="rId21"/><Relationship Type="http://schemas.openxmlformats.org/officeDocument/2006/relationships/hyperlink" Target="https://www.adafruit.com/product/1734" TargetMode="External" Id="rId22"/><Relationship Type="http://schemas.openxmlformats.org/officeDocument/2006/relationships/hyperlink" Target="https://www.adafruit.com/product/1314" TargetMode="External" Id="rId23"/><Relationship Type="http://schemas.openxmlformats.org/officeDocument/2006/relationships/hyperlink" Target="https://www.adafruit.com/product/3777" TargetMode="External" Id="rId24"/><Relationship Type="http://schemas.openxmlformats.org/officeDocument/2006/relationships/hyperlink" Target="https://www.adafruit.com/product/3777" TargetMode="External" Id="rId25"/><Relationship Type="http://schemas.openxmlformats.org/officeDocument/2006/relationships/hyperlink" Target="https://www.adafruit.com/product/3777" TargetMode="External" Id="rId26"/><Relationship Type="http://schemas.openxmlformats.org/officeDocument/2006/relationships/hyperlink" Target="https://www.adafruit.com/product/3777" TargetMode="External" Id="rId27"/><Relationship Type="http://schemas.openxmlformats.org/officeDocument/2006/relationships/hyperlink" Target="https://www.adafruit.com/product/3777" TargetMode="External" Id="rId28"/><Relationship Type="http://schemas.openxmlformats.org/officeDocument/2006/relationships/hyperlink" Target="https://www.adafruit.com/product/3777" TargetMode="External" Id="rId29"/><Relationship Type="http://schemas.openxmlformats.org/officeDocument/2006/relationships/hyperlink" Target="https://www.adafruit.com/product/3777" TargetMode="External" Id="rId30"/><Relationship Type="http://schemas.openxmlformats.org/officeDocument/2006/relationships/hyperlink" Target="https://www.adafruit.com/product/3766" TargetMode="External" Id="rId31"/><Relationship Type="http://schemas.openxmlformats.org/officeDocument/2006/relationships/hyperlink" Target="https://www.actuonix.com/p16-100-256-12-p" TargetMode="External" Id="rId32"/><Relationship Type="http://schemas.openxmlformats.org/officeDocument/2006/relationships/hyperlink" Target="https://www.digikey.com/en/products/detail/omron-electronics-inc-emc-div/SS-01GL/369830" TargetMode="External" Id="rId33"/><Relationship Type="http://schemas.openxmlformats.org/officeDocument/2006/relationships/hyperlink" Target="https://www.adafruit.com/product/1142" TargetMode="External" Id="rId34"/><Relationship Type="http://schemas.openxmlformats.org/officeDocument/2006/relationships/hyperlink" Target="https://www.trcelectronics.com/products/powersonic-ps-1270-f2" TargetMode="External" Id="rId35"/><Relationship Type="http://schemas.openxmlformats.org/officeDocument/2006/relationships/hyperlink" Target="https://www.powerstream.com/12V-car-charger.htm" TargetMode="External" Id="rId36"/><Relationship Type="http://schemas.openxmlformats.org/officeDocument/2006/relationships/hyperlink" Target="https://www.digikey.com/en/products/detail/switchcraft-inc/L722A/241928" TargetMode="External" Id="rId37"/><Relationship Type="http://schemas.openxmlformats.org/officeDocument/2006/relationships/hyperlink" Target="https://www.digikey.com/en/products/detail/carling-technologies/V1D2S00B-GZCXX-1XX-XFWD1/11587384" TargetMode="External" Id="rId38"/><Relationship Type="http://schemas.openxmlformats.org/officeDocument/2006/relationships/hyperlink" Target="https://www.digikey.com/en/products/detail/littelfuse-commercial-vehicle-products/FHAC0001ZXJ/2004062" TargetMode="External" Id="rId39"/><Relationship Type="http://schemas.openxmlformats.org/officeDocument/2006/relationships/hyperlink" Target="https://www.digikey.com/en/products/detail/littelfuse-inc/0287015.PXCN/2519816" TargetMode="External" Id="rId40"/><Relationship Type="http://schemas.openxmlformats.org/officeDocument/2006/relationships/hyperlink" Target="https://www.digikey.com/en/products/detail/littelfuse-inc/0287003-PXCN/3102553" TargetMode="External" Id="rId41"/><Relationship Type="http://schemas.openxmlformats.org/officeDocument/2006/relationships/hyperlink" Target="https://www.digikey.com/en/products/detail/littelfuse-inc/0287003-PXCN/3102553" TargetMode="External" Id="rId42"/><Relationship Type="http://schemas.openxmlformats.org/officeDocument/2006/relationships/hyperlink" Target="https://www.digikey.com/en/products/detail/littelfuse-inc/0287005-PXCN/2519811" TargetMode="External" Id="rId43"/><Relationship Type="http://schemas.openxmlformats.org/officeDocument/2006/relationships/hyperlink" Target="https://www.digikey.com/en/products/detail/littelfuse-inc/0287005-PXCN/2519811" TargetMode="External" Id="rId44"/><Relationship Type="http://schemas.openxmlformats.org/officeDocument/2006/relationships/hyperlink" Target="https://www.digikey.com/en/products/detail/littelfuse-inc/0287002-PXCN/3102552" TargetMode="External" Id="rId45"/><Relationship Type="http://schemas.openxmlformats.org/officeDocument/2006/relationships/hyperlink" Target="https://www.digikey.com/en/products/detail/littelfuse-inc/0287002-PXCN/3102552" TargetMode="External" Id="rId46"/><Relationship Type="http://schemas.openxmlformats.org/officeDocument/2006/relationships/hyperlink" Target="https://www.digikey.com/en/products/detail/te-connectivity-amp-connectors/3-520408-2/14800982" TargetMode="External" Id="rId47"/><Relationship Type="http://schemas.openxmlformats.org/officeDocument/2006/relationships/hyperlink" Target="https://bntechgo.com/bntechgo-16-gauge-silicone-wire-kit-ultra-flexible-50-ft-black-and-red-each-color-25-ft-high-temp-200-c-600v-16-awg-silicone-wire-252-strands-of-tinned-copper-wire-stranded-wire-stranded-wire-for-model-battery/" TargetMode="External" Id="rId48"/><Relationship Type="http://schemas.openxmlformats.org/officeDocument/2006/relationships/hyperlink" Target="https://bntechgo.com/bntechgo-22-gauge-silicone-wire-kit-ultra-flexible-6-colors-each-30-ft-high-temp-200-c-600v-22-awg-silicone-wire-60-strands-of-tinned-copper-wire-stranded-wire-for-model-battery/" TargetMode="External" Id="rId49"/><Relationship Type="http://schemas.openxmlformats.org/officeDocument/2006/relationships/hyperlink" Target="https://www.adafruit.com/product/4872" TargetMode="External" Id="rId50"/><Relationship Type="http://schemas.openxmlformats.org/officeDocument/2006/relationships/hyperlink" Target="https://www.digikey.com/en/products/detail/anderson-power-products-inc/1327-BK/10650475" TargetMode="External" Id="rId51"/><Relationship Type="http://schemas.openxmlformats.org/officeDocument/2006/relationships/hyperlink" Target="https://www.digikey.com/en/products/detail/anderson-power-products-inc/1332-BK/10650021" TargetMode="External" Id="rId52"/><Relationship Type="http://schemas.openxmlformats.org/officeDocument/2006/relationships/hyperlink" Target="https://www.adafruit.com/product/4474" TargetMode="External" Id="rId53"/><Relationship Type="http://schemas.openxmlformats.org/officeDocument/2006/relationships/hyperlink" Target="https://www.adafruit.com/product/5978" TargetMode="External" Id="rId54"/><Relationship Type="http://schemas.openxmlformats.org/officeDocument/2006/relationships/hyperlink" Target="https://www.pololu.com/product/2184" TargetMode="External" Id="rId55"/><Relationship Type="http://schemas.openxmlformats.org/officeDocument/2006/relationships/hyperlink" Target="https://www.adafruit.com/product/4209" TargetMode="External" Id="rId56"/><Relationship Type="http://schemas.openxmlformats.org/officeDocument/2006/relationships/hyperlink" Target="https://www.adafruit.com/product/4293" TargetMode="External" Id="rId57"/><Relationship Type="http://schemas.openxmlformats.org/officeDocument/2006/relationships/hyperlink" Target="https://www.adafruit.com/product/2787" TargetMode="External" Id="rId58"/><Relationship Type="http://schemas.openxmlformats.org/officeDocument/2006/relationships/hyperlink" Target="https://www.digikey.com/en/products/detail/stackpole-electronics-inc/CF14JT15K0/1741298" TargetMode="External" Id="rId59"/><Relationship Type="http://schemas.openxmlformats.org/officeDocument/2006/relationships/hyperlink" Target="https://www.adafruit.com/product/2784" TargetMode="External" Id="rId60"/><Relationship Type="http://schemas.openxmlformats.org/officeDocument/2006/relationships/hyperlink" Target="https://www.digikey.com/en/products/detail/stackpole-electronics-inc/RNF14FTD71K5/738-RNF14FTD71K5CT-ND" TargetMode="External" Id="rId61"/><Relationship Type="http://schemas.openxmlformats.org/officeDocument/2006/relationships/hyperlink" Target="https://www.digikey.com/en/products/detail/stackpole-electronics-inc/CF14JT3K30/1741376" TargetMode="External" Id="rId62"/><Relationship Type="http://schemas.openxmlformats.org/officeDocument/2006/relationships/hyperlink" Target="https://www.digikey.com/en/products/detail/stackpole-electronics-inc/CF14JT2K20/1741321" TargetMode="External" Id="rId63"/><Relationship Type="http://schemas.openxmlformats.org/officeDocument/2006/relationships/hyperlink" Target="https://www.digikey.com/en/products/detail/stackpole-electronics-inc/CF14JT470K/1741442" TargetMode="External" Id="rId64"/><Relationship Type="http://schemas.openxmlformats.org/officeDocument/2006/relationships/hyperlink" Target="https://www.adafruit.com/product/6010" TargetMode="External" Id="rId65"/><Relationship Type="http://schemas.openxmlformats.org/officeDocument/2006/relationships/hyperlink" Target="https://www.adafruit.com/product/158" TargetMode="External" Id="rId66"/></Relationships>
</file>

<file path=xl/worksheets/_rels/sheet3.xml.rels><Relationships xmlns="http://schemas.openxmlformats.org/package/2006/relationships"><Relationship Type="http://schemas.openxmlformats.org/officeDocument/2006/relationships/hyperlink" Target="https://www.wwhardware.com/triangle-flat-lazy-susan-bearing-9-round-tr09c" TargetMode="External" Id="rId1"/><Relationship Type="http://schemas.openxmlformats.org/officeDocument/2006/relationships/hyperlink" Target="https://www.amazon.com/dp/B07GVQ8G23" TargetMode="External" Id="rId2"/><Relationship Type="http://schemas.openxmlformats.org/officeDocument/2006/relationships/hyperlink" Target="https://www.boltdepot.com/Metric_hex_bolts_Zinc_plated_class_8.8_steel_12mm_x_1.75mm.aspx" TargetMode="External" Id="rId3"/><Relationship Type="http://schemas.openxmlformats.org/officeDocument/2006/relationships/hyperlink" Target="https://www.amazon.com/dp/B0F8GZP628" TargetMode="External" Id="rId4"/><Relationship Type="http://schemas.openxmlformats.org/officeDocument/2006/relationships/hyperlink" Target="https://boltdepot.com/Product-List?Units=Metric&amp;Category=Washers&amp;Subcategory=Fender_washers&amp;F_Size=12mm&amp;Material=Steel&amp;Plating=Zinc" TargetMode="External" Id="rId5"/><Relationship Type="http://schemas.openxmlformats.org/officeDocument/2006/relationships/hyperlink" Target="https://boltdepot.com/Product-List?Units=Metric&amp;Category=Washers&amp;Subcategory=Flat_washers&amp;F_Size=12mm&amp;Material=Steel&amp;Plating=Zinc" TargetMode="External" Id="rId6"/><Relationship Type="http://schemas.openxmlformats.org/officeDocument/2006/relationships/hyperlink" Target="https://www.amazon.com/dp/B0CGDV5C3F" TargetMode="External" Id="rId7"/><Relationship Type="http://schemas.openxmlformats.org/officeDocument/2006/relationships/hyperlink" Target="https://boltdepot.com/Threaded_rod_Zinc_plated_steel_8mm_x_1.25mm" TargetMode="External" Id="rId8"/><Relationship Type="http://schemas.openxmlformats.org/officeDocument/2006/relationships/hyperlink" Target="https://boltdepot.com/Product-List?Units=Metric&amp;Category=Nuts&amp;Subcategory=Hex_nuts&amp;F_Diameter=8mm&amp;F_Thread_pitch=1.25mm&amp;Material=Steel&amp;Plating=Zinc&amp;Grade=Class_8.8" TargetMode="External" Id="rId9"/><Relationship Type="http://schemas.openxmlformats.org/officeDocument/2006/relationships/hyperlink" Target="https://www.amazon.com/dp/B0F1YGKBSL" TargetMode="External" Id="rId10"/><Relationship Type="http://schemas.openxmlformats.org/officeDocument/2006/relationships/hyperlink" Target="https://boltdepot.com/Product-List?Units=Metric&amp;Category=Washers&amp;Subcategory=Flat_washers&amp;F_Size=8mm&amp;Material=Steel&amp;Plating=Zinc" TargetMode="External" Id="rId11"/><Relationship Type="http://schemas.openxmlformats.org/officeDocument/2006/relationships/hyperlink" Target="https://boltdepot.com/Product-List?Units=Metric&amp;Category=Washers&amp;Subcategory=Fender_washers&amp;F_Size=8mm&amp;Material=Steel&amp;Plating=Zinc" TargetMode="External" Id="rId12"/><Relationship Type="http://schemas.openxmlformats.org/officeDocument/2006/relationships/hyperlink" Target="https://boltdepot.com/Metric_socket_cap_Stainless_steel_18-8_(A-2)_5mm_x_0.8mm" TargetMode="External" Id="rId13"/><Relationship Type="http://schemas.openxmlformats.org/officeDocument/2006/relationships/hyperlink" Target="https://www.amazon.com/dp/B07YSVXWS8" TargetMode="External" Id="rId14"/><Relationship Type="http://schemas.openxmlformats.org/officeDocument/2006/relationships/hyperlink" Target="https://www.amazon.com/dp/B0DY4HF7N8" TargetMode="External" Id="rId15"/><Relationship Type="http://schemas.openxmlformats.org/officeDocument/2006/relationships/hyperlink" Target="https://www.amazon.com/dp/B0D7PWCDWK" TargetMode="External" Id="rId16"/><Relationship Type="http://schemas.openxmlformats.org/officeDocument/2006/relationships/hyperlink" Target="https://us.amazon.com/Compression-Spring-Stainless-Length-Silver/dp/B0DK9C5YT5" TargetMode="External" Id="rId17"/><Relationship Type="http://schemas.openxmlformats.org/officeDocument/2006/relationships/hyperlink" Target="https://www.amazon.com/dp/B074TFLBFQ" TargetMode="External" Id="rId18"/><Relationship Type="http://schemas.openxmlformats.org/officeDocument/2006/relationships/hyperlink" Target="https://boltdepot.com/Product-List?Units=Metric&amp;Category=Nuts&amp;Subcategory=Hex_nuts&amp;F_Diameter=4mm&amp;F_Thread_pitch=0.7mm&amp;Material=Steel&amp;Plating=Zinc" TargetMode="External" Id="rId19"/><Relationship Type="http://schemas.openxmlformats.org/officeDocument/2006/relationships/hyperlink" Target="https://boltdepot.com/Product-List?Units=Metric&amp;Category=Washers&amp;Subcategory=Flat_washers&amp;F_Size=4mm&amp;Material=Steel&amp;Plating=Zinc" TargetMode="External" Id="rId20"/><Relationship Type="http://schemas.openxmlformats.org/officeDocument/2006/relationships/hyperlink" Target="https://www.amazon.com/dp/B07YSV66Y5" TargetMode="External" Id="rId21"/><Relationship Type="http://schemas.openxmlformats.org/officeDocument/2006/relationships/hyperlink" Target="https://www.amazon.com/dp/B0CHMKL1DF" TargetMode="External" Id="rId22"/><Relationship Type="http://schemas.openxmlformats.org/officeDocument/2006/relationships/hyperlink" Target="https://www.adafruit.com/product/4255" TargetMode="External" Id="rId23"/><Relationship Type="http://schemas.openxmlformats.org/officeDocument/2006/relationships/hyperlink" Target="https://www.adafruit.com/product/3299" TargetMode="External" Id="rId24"/><Relationship Type="http://schemas.openxmlformats.org/officeDocument/2006/relationships/hyperlink" Target="https://www.amazon.com/dp/B01HDR72Q2" TargetMode="External" Id="rId25"/><Relationship Type="http://schemas.openxmlformats.org/officeDocument/2006/relationships/hyperlink" Target="https://www.amazon.com/dp/B0F43TNSM2" TargetMode="External" Id="rId26"/><Relationship Type="http://schemas.openxmlformats.org/officeDocument/2006/relationships/hyperlink" Target="https://www.amazon.com/dp/B09PJ8L58G" TargetMode="External" Id="rId27"/><Relationship Type="http://schemas.openxmlformats.org/officeDocument/2006/relationships/hyperlink" Target="https://www.amazon.com/dp/B0877BD2SH" TargetMode="External" Id="rId28"/><Relationship Type="http://schemas.openxmlformats.org/officeDocument/2006/relationships/hyperlink" Target="https://www.amazon.com/dp/B00TRUC19C" TargetMode="External" Id="rId29"/><Relationship Type="http://schemas.openxmlformats.org/officeDocument/2006/relationships/hyperlink" Target="https://us.store.bambulab.com/products/petg-basic" TargetMode="External" Id="rId30"/><Relationship Type="http://schemas.openxmlformats.org/officeDocument/2006/relationships/hyperlink" Target="https://us.store.bambulab.com/products/petg-cf" TargetMode="External" Id="rId31"/><Relationship Type="http://schemas.openxmlformats.org/officeDocument/2006/relationships/hyperlink" Target="https://us.store.bambulab.com/products/pla-basic-filament" TargetMode="External" Id="rId32"/><Relationship Type="http://schemas.openxmlformats.org/officeDocument/2006/relationships/hyperlink" Target="https://www.jwwinco.com/en-us/products/3.1-Indexing-locking-blocking-with-pins-and-ball-shaped-elements/Indexing-plungers/GN-412-Zinc-Die-Cast-Indexing-Plungers-with-Screw-On-Flange" TargetMode="External" Id="rId33"/><Relationship Type="http://schemas.openxmlformats.org/officeDocument/2006/relationships/hyperlink" Target="https://live-catalog.jwwinco.com/pdf/winco/us/412_2.pdf?dispositiontype=attachment" TargetMode="External" Id="rId34"/><Relationship Type="http://schemas.openxmlformats.org/officeDocument/2006/relationships/hyperlink" Target="https://boltdepot.com/Metric_hex_bolts_Zinc_plated_class_8.8_steel_8mm_x_1.25mm.aspx" TargetMode="External" Id="rId35"/><Relationship Type="http://schemas.openxmlformats.org/officeDocument/2006/relationships/hyperlink" Target="https://www.amazon.com/s?k=uxcell+sintered+bronze+bushing+8mm+bore+12mm+OD+12mm+length" TargetMode="External" Id="rId36"/><Relationship Type="http://schemas.openxmlformats.org/officeDocument/2006/relationships/hyperlink" Target="https://vxb.com/products/two-pack-lm12luu-12mm-long-linear-ball-bearing-bus" TargetMode="External" Id="rId37"/><Relationship Type="http://schemas.openxmlformats.org/officeDocument/2006/relationships/hyperlink" Target="https://boltdepot.com/Metric_socket_cap_Class_12.9_black_alloy_steel_4mm_x_0.7mm.aspx" TargetMode="External" Id="rId38"/><Relationship Type="http://schemas.openxmlformats.org/officeDocument/2006/relationships/hyperlink" Target="https://vxb.com/products/12mm-shaft-hardened-rod-linear-motion-200mm-long" TargetMode="External" Id="rId39"/><Relationship Type="http://schemas.openxmlformats.org/officeDocument/2006/relationships/hyperlink" Target="https://boltdepot.com/Metric_socket_cap_Class_12.9_black_alloy_steel_4mm_x_0.7mm.aspx" TargetMode="External" Id="rId40"/><Relationship Type="http://schemas.openxmlformats.org/officeDocument/2006/relationships/hyperlink" Target="https://boltdepot.com/Metric_socket_cap_Class_12.9_black_alloy_steel_4mm_x_0.7mm.aspx" TargetMode="External" Id="rId41"/><Relationship Type="http://schemas.openxmlformats.org/officeDocument/2006/relationships/hyperlink" Target="https://boltdepot.com/Metric_socket_set_screws_cup_point_Alloy_steel_4mm_x_0.7mm.aspx" TargetMode="External" Id="rId42"/><Relationship Type="http://schemas.openxmlformats.org/officeDocument/2006/relationships/hyperlink" Target="https://boltdepot.com/Metric_socket_cap_Class_12.9_black_alloy_steel_4mm_x_0.7mm.aspx" TargetMode="External" Id="rId43"/><Relationship Type="http://schemas.openxmlformats.org/officeDocument/2006/relationships/hyperlink" Target="https://boltdepot.com/Metric_nylon_insert_lock_nuts_Zinc_plated_steel_4mm_x_0.7mm.aspx" TargetMode="External" Id="rId44"/></Relationships>
</file>

<file path=xl/worksheets/_rels/sheet5.xml.rels><Relationships xmlns="http://schemas.openxmlformats.org/package/2006/relationships"><Relationship Type="http://schemas.openxmlformats.org/officeDocument/2006/relationships/hyperlink" Target="https://us.store.bambulab.com/products/petg-hf" TargetMode="External" Id="rId1"/></Relationships>
</file>

<file path=xl/worksheets/_rels/sheet7.xml.rels><Relationships xmlns="http://schemas.openxmlformats.org/package/2006/relationships"><Relationship Type="http://schemas.openxmlformats.org/officeDocument/2006/relationships/hyperlink" Target="https://www.adafruit.com/product/1734" TargetMode="External" Id="rId1"/><Relationship Type="http://schemas.openxmlformats.org/officeDocument/2006/relationships/hyperlink" Target="https://www.adafruit.com/product/1314" TargetMode="External" Id="rId2"/><Relationship Type="http://schemas.openxmlformats.org/officeDocument/2006/relationships/hyperlink" Target="https://www.adafruit.com/product/3766" TargetMode="External" Id="rId3"/><Relationship Type="http://schemas.openxmlformats.org/officeDocument/2006/relationships/hyperlink" Target="https://www.actuonix.com/p16-100-256-12-p" TargetMode="External" Id="rId4"/><Relationship Type="http://schemas.openxmlformats.org/officeDocument/2006/relationships/hyperlink" Target="https://www.adafruit.com/product/1142" TargetMode="External" Id="rId5"/><Relationship Type="http://schemas.openxmlformats.org/officeDocument/2006/relationships/hyperlink" Target="https://www.pololu.com/product/2184" TargetMode="External" Id="rId6"/><Relationship Type="http://schemas.openxmlformats.org/officeDocument/2006/relationships/hyperlink" Target="https://www.adafruit.com/product/4293" TargetMode="External" Id="rId7"/><Relationship Type="http://schemas.openxmlformats.org/officeDocument/2006/relationships/hyperlink" Target="https://www.adafruit.com/product/2784" TargetMode="External" Id="rId8"/><Relationship Type="http://schemas.openxmlformats.org/officeDocument/2006/relationships/hyperlink" Target="https://www.adafruit.com/product/6010" TargetMode="External" Id="rId9"/><Relationship Type="http://schemas.openxmlformats.org/officeDocument/2006/relationships/hyperlink" Target="https://www.adafruit.com/product/3299" TargetMode="External" Id="rId10"/></Relationships>
</file>

<file path=xl/worksheets/sheet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44" customWidth="1" min="1" max="1"/>
    <col width="18" customWidth="1" min="2" max="2"/>
    <col width="60" customWidth="1" min="3" max="3"/>
  </cols>
  <sheetData>
    <row r="1">
      <c r="A1" s="1" t="inlineStr">
        <is>
          <t>fable-r2d2 revision D bill of materials</t>
        </is>
      </c>
    </row>
    <row r="2" ht="45" customHeight="1">
      <c r="A2" s="2" t="inlineStr">
        <is>
          <t>Prices are list prices read from supplier pages on the date in the notes; tax and shipping excluded. Edit quantities or unit prices on the sheets; totals are formulas.</t>
        </is>
      </c>
    </row>
    <row r="4">
      <c r="A4" s="3" t="inlineStr">
        <is>
          <t>Electronics</t>
        </is>
      </c>
      <c r="B4" s="4">
        <f>Electronics!J68</f>
        <v/>
      </c>
    </row>
    <row r="5">
      <c r="A5" s="3" t="inlineStr">
        <is>
          <t>Mechanical hardware</t>
        </is>
      </c>
      <c r="B5" s="4">
        <f>Hardware!J46</f>
        <v/>
      </c>
    </row>
    <row r="6">
      <c r="A6" s="3" t="inlineStr">
        <is>
          <t>Filament</t>
        </is>
      </c>
      <c r="B6" s="4">
        <f>Filament!E3</f>
        <v/>
      </c>
    </row>
    <row r="7">
      <c r="A7" s="5" t="inlineStr">
        <is>
          <t>Grand total (USD)</t>
        </is>
      </c>
      <c r="B7" s="6">
        <f>SUM(B4:B6)</f>
        <v/>
      </c>
    </row>
    <row r="9">
      <c r="A9" t="inlineStr">
        <is>
          <t>Printed pieces</t>
        </is>
      </c>
      <c r="B9">
        <f>SUM('Printed parts'!B2:B11)</f>
        <v/>
      </c>
    </row>
    <row r="10">
      <c r="A10" t="inlineStr">
        <is>
          <t>Unique STL files</t>
        </is>
      </c>
      <c r="B10" t="n">
        <v>10</v>
      </c>
    </row>
    <row r="11">
      <c r="A11" t="inlineStr">
        <is>
          <t>Sliced filament mass, g</t>
        </is>
      </c>
      <c r="B11">
        <f>'Printed parts'!I12</f>
        <v/>
      </c>
    </row>
    <row r="12">
      <c r="A12" t="inlineStr">
        <is>
          <t>Sliced print time, h</t>
        </is>
      </c>
      <c r="B12">
        <f>'Printed parts'!J12</f>
        <v/>
      </c>
    </row>
    <row r="14">
      <c r="A14" t="inlineStr">
        <is>
          <t>Purchased pieces added since revision C (fable-r2d2-revision-c)</t>
        </is>
      </c>
      <c r="B14">
        <f>'Revision D changes'!I29</f>
        <v/>
      </c>
    </row>
    <row r="15">
      <c r="A15" t="inlineStr">
        <is>
          <t>Purchased cost added since revision C, USD</t>
        </is>
      </c>
      <c r="B15" s="4">
        <f>'Revision D changes'!K29</f>
        <v/>
      </c>
    </row>
    <row r="16">
      <c r="A16" t="inlineStr">
        <is>
          <t>Purchased rows with a stock note</t>
        </is>
      </c>
      <c r="B16" t="n">
        <v>10</v>
      </c>
      <c r="C16" t="inlineStr">
        <is>
          <t>LED3-LED5 out of stock; LS1 out of stock; W1-W14 out of stock; ACT1 back order; SV1-SV2 out of stock; J13A-J13B out of stock; R1 out of stock; R4 out of stock; SD1 no longer stocked; H25 out of stock</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8" customWidth="1" min="1" max="1"/>
    <col width="6" customWidth="1" min="2" max="2"/>
    <col width="34" customWidth="1" min="3" max="3"/>
    <col width="20" customWidth="1" min="4" max="4"/>
    <col width="14" customWidth="1" min="5" max="5"/>
    <col width="46" customWidth="1" min="6" max="6"/>
    <col width="10" customWidth="1" min="7" max="7"/>
    <col width="12" customWidth="1" min="8" max="8"/>
    <col width="52" customWidth="1" min="9" max="9"/>
    <col width="11" customWidth="1" min="10" max="10"/>
  </cols>
  <sheetData>
    <row r="1" ht="30" customHeight="1">
      <c r="A1" s="7" t="inlineStr">
        <is>
          <t>Ref</t>
        </is>
      </c>
      <c r="B1" s="7" t="inlineStr">
        <is>
          <t>Qty</t>
        </is>
      </c>
      <c r="C1" s="7" t="inlineStr">
        <is>
          <t>Item</t>
        </is>
      </c>
      <c r="D1" s="7" t="inlineStr">
        <is>
          <t>Part number</t>
        </is>
      </c>
      <c r="E1" s="7" t="inlineStr">
        <is>
          <t>Supplier</t>
        </is>
      </c>
      <c r="F1" s="7" t="inlineStr">
        <is>
          <t>Source URL</t>
        </is>
      </c>
      <c r="G1" s="7" t="inlineStr">
        <is>
          <t>Unit USD</t>
        </is>
      </c>
      <c r="H1" s="7" t="inlineStr">
        <is>
          <t>Price basis</t>
        </is>
      </c>
      <c r="I1" s="7" t="inlineStr">
        <is>
          <t>Notes / use</t>
        </is>
      </c>
      <c r="J1" s="7" t="inlineStr">
        <is>
          <t>Line USD</t>
        </is>
      </c>
    </row>
    <row r="2">
      <c r="A2" s="8" t="inlineStr">
        <is>
          <t>A1</t>
        </is>
      </c>
      <c r="B2" s="8" t="n">
        <v>1</v>
      </c>
      <c r="C2" s="9" t="inlineStr">
        <is>
          <t>Raspberry Pi 4 Model B, 4 GB - control server, Wi-Fi, head displays, audio</t>
        </is>
      </c>
      <c r="D2" s="8" t="inlineStr">
        <is>
          <t>Adafruit 4296</t>
        </is>
      </c>
      <c r="E2" s="8" t="inlineStr">
        <is>
          <t>Adafruit</t>
        </is>
      </c>
      <c r="F2" s="10" t="inlineStr">
        <is>
          <t>https://www.adafruit.com/product/4296</t>
        </is>
      </c>
      <c r="G2" s="11" t="n">
        <v>120</v>
      </c>
      <c r="H2" s="8" t="inlineStr">
        <is>
          <t>listed</t>
        </is>
      </c>
      <c r="I2" s="9" t="inlineStr">
        <is>
          <t>Powered from the 5 V regulator through a USB-C plug breakout (J12), not from a wall adapter. Needs the 32 GB microSD SD1.</t>
        </is>
      </c>
      <c r="J2" s="12">
        <f>B2*G2</f>
        <v/>
      </c>
    </row>
    <row r="3">
      <c r="A3" s="8" t="inlineStr">
        <is>
          <t>A2</t>
        </is>
      </c>
      <c r="B3" s="8" t="n">
        <v>1</v>
      </c>
      <c r="C3" s="9" t="inlineStr">
        <is>
          <t>Adafruit KB2040 (RP2040) - motor and NeoPixel controller</t>
        </is>
      </c>
      <c r="D3" s="8" t="inlineStr">
        <is>
          <t>Adafruit 5302</t>
        </is>
      </c>
      <c r="E3" s="8" t="inlineStr">
        <is>
          <t>Adafruit</t>
        </is>
      </c>
      <c r="F3" s="10" t="inlineStr">
        <is>
          <t>https://www.adafruit.com/product/5302</t>
        </is>
      </c>
      <c r="G3" s="11" t="n">
        <v>8.949999999999999</v>
      </c>
      <c r="H3" s="8" t="inlineStr">
        <is>
          <t>listed</t>
        </is>
      </c>
      <c r="I3" s="9" t="inlineStr">
        <is>
          <t>Powered and commanded from a Pi USB 2.0 port over cable J11. Revision D uses all 20 GPIOs, including GP12/GP13 on the STEMMA QT connector; the pin map is fixed by firmware/kb2040/code.py (docs/firmware.md section 4).</t>
        </is>
      </c>
      <c r="J3" s="12">
        <f>B3*G3</f>
        <v/>
      </c>
    </row>
    <row r="4">
      <c r="A4" s="8" t="inlineStr">
        <is>
          <t>U1</t>
        </is>
      </c>
      <c r="B4" s="8" t="n">
        <v>1</v>
      </c>
      <c r="C4" s="9" t="inlineStr">
        <is>
          <t>DRV8833 dual H-bridge - driver 1, left foot (lf-front, lf-rear)</t>
        </is>
      </c>
      <c r="D4" s="8" t="inlineStr">
        <is>
          <t>Adafruit 3297</t>
        </is>
      </c>
      <c r="E4" s="8" t="inlineStr">
        <is>
          <t>Adafruit</t>
        </is>
      </c>
      <c r="F4" s="10" t="inlineStr">
        <is>
          <t>https://www.adafruit.com/product/3297</t>
        </is>
      </c>
      <c r="G4" s="11" t="n">
        <v>5.95</v>
      </c>
      <c r="H4" s="8" t="inlineStr">
        <is>
          <t>listed</t>
        </is>
      </c>
      <c r="I4" s="9" t="inlineStr">
        <is>
          <t>VMOTOR from the 6 V regulator U6. Keep both 0.2 ohm sense resistors: 1 A per motor. Revision D: jumper AIN1 to BIN1 and AIN2 to BIN2 on the board so one KB2040 pin pair drives both motors of the foot, D2 (AIN1+BIN1) and D3 (AIN2+BIN2); SLP tied to KB2040 3V3.</t>
        </is>
      </c>
      <c r="J4" s="12">
        <f>B4*G4</f>
        <v/>
      </c>
    </row>
    <row r="5">
      <c r="A5" s="8" t="inlineStr">
        <is>
          <t>U2</t>
        </is>
      </c>
      <c r="B5" s="8" t="n">
        <v>1</v>
      </c>
      <c r="C5" s="9" t="inlineStr">
        <is>
          <t>DRV8833 dual H-bridge - driver 2, right foot (rf-front, rf-rear)</t>
        </is>
      </c>
      <c r="D5" s="8" t="inlineStr">
        <is>
          <t>Adafruit 3297</t>
        </is>
      </c>
      <c r="E5" s="8" t="inlineStr">
        <is>
          <t>Adafruit</t>
        </is>
      </c>
      <c r="F5" s="10" t="inlineStr">
        <is>
          <t>https://www.adafruit.com/product/3297</t>
        </is>
      </c>
      <c r="G5" s="11" t="n">
        <v>5.95</v>
      </c>
      <c r="H5" s="8" t="inlineStr">
        <is>
          <t>listed</t>
        </is>
      </c>
      <c r="I5" s="9" t="inlineStr">
        <is>
          <t>VMOTOR from the 6 V regulator U7. Revision D: jumper AIN1 to BIN1 and AIN2 to BIN2 on the board so one KB2040 pin pair drives both motors of the foot, D6 (AIN1+BIN1) and D7 (AIN2+BIN2); SLP tied to KB2040 3V3.</t>
        </is>
      </c>
      <c r="J5" s="12">
        <f>B5*G5</f>
        <v/>
      </c>
    </row>
    <row r="6">
      <c r="A6" s="8" t="inlineStr">
        <is>
          <t>U3</t>
        </is>
      </c>
      <c r="B6" s="8" t="n">
        <v>1</v>
      </c>
      <c r="C6" s="9" t="inlineStr">
        <is>
          <t>DRV8833 dual H-bridge - driver 3, centre foot (cf-front, cf-rear)</t>
        </is>
      </c>
      <c r="D6" s="8" t="inlineStr">
        <is>
          <t>Adafruit 3297</t>
        </is>
      </c>
      <c r="E6" s="8" t="inlineStr">
        <is>
          <t>Adafruit</t>
        </is>
      </c>
      <c r="F6" s="10" t="inlineStr">
        <is>
          <t>https://www.adafruit.com/product/3297</t>
        </is>
      </c>
      <c r="G6" s="11" t="n">
        <v>5.95</v>
      </c>
      <c r="H6" s="8" t="inlineStr">
        <is>
          <t>listed</t>
        </is>
      </c>
      <c r="I6" s="9" t="inlineStr">
        <is>
          <t>VMOTOR from the 6 V regulator U6. Revision D: jumper AIN1 to BIN1 and AIN2 to BIN2 on the board so one KB2040 pin pair drives both motors of the foot, MOSI (AIN1+BIN1) and D10 (AIN2+BIN2); SLP tied to KB2040 3V3.</t>
        </is>
      </c>
      <c r="J6" s="12">
        <f>B6*G6</f>
        <v/>
      </c>
    </row>
    <row r="7">
      <c r="A7" s="8" t="inlineStr">
        <is>
          <t>U4</t>
        </is>
      </c>
      <c r="B7" s="8" t="n">
        <v>1</v>
      </c>
      <c r="C7" s="9" t="inlineStr">
        <is>
          <t>DRV8833 dual H-bridge - driver 4, head friction drive (channel A only)</t>
        </is>
      </c>
      <c r="D7" s="8" t="inlineStr">
        <is>
          <t>Adafruit 3297</t>
        </is>
      </c>
      <c r="E7" s="8" t="inlineStr">
        <is>
          <t>Adafruit</t>
        </is>
      </c>
      <c r="F7" s="10" t="inlineStr">
        <is>
          <t>https://www.adafruit.com/product/3297</t>
        </is>
      </c>
      <c r="G7" s="11" t="n">
        <v>5.95</v>
      </c>
      <c r="H7" s="8" t="inlineStr">
        <is>
          <t>listed</t>
        </is>
      </c>
      <c r="I7" s="9" t="inlineStr">
        <is>
          <t>VMOTOR from the 6 V regulator U7. BIN1/BIN2 tied to GND; BOUT1/BOUT2 unused. Revision D: AIN1 = KB2040 D4, AIN2 = D5; SLP tied to KB2040 3V3.</t>
        </is>
      </c>
      <c r="J7" s="12">
        <f>B7*G7</f>
        <v/>
      </c>
    </row>
    <row r="8">
      <c r="A8" s="8" t="inlineStr">
        <is>
          <t>U5</t>
        </is>
      </c>
      <c r="B8" s="8" t="n">
        <v>1</v>
      </c>
      <c r="C8" s="9" t="inlineStr">
        <is>
          <t>Pololu D36V50F5 step-down regulator, 12 V to 5 V 5.5 A - Pi, displays, NeoPixels, amplifier</t>
        </is>
      </c>
      <c r="D8" s="8" t="inlineStr">
        <is>
          <t>Pololu 4091</t>
        </is>
      </c>
      <c r="E8" s="8" t="inlineStr">
        <is>
          <t>Pololu</t>
        </is>
      </c>
      <c r="F8" s="10" t="inlineStr">
        <is>
          <t>https://www.pololu.com/product/4091</t>
        </is>
      </c>
      <c r="G8" s="11" t="n">
        <v>39.95</v>
      </c>
      <c r="H8" s="8" t="inlineStr">
        <is>
          <t>listed</t>
        </is>
      </c>
      <c r="I8" s="9" t="inlineStr">
        <is>
          <t>Fed from the 12 V bus through fuse F3 (3 A). Pololu stock is rationed; order early.</t>
        </is>
      </c>
      <c r="J8" s="12">
        <f>B8*G8</f>
        <v/>
      </c>
    </row>
    <row r="9">
      <c r="A9" s="8" t="inlineStr">
        <is>
          <t>U6</t>
        </is>
      </c>
      <c r="B9" s="8" t="n">
        <v>1</v>
      </c>
      <c r="C9" s="9" t="inlineStr">
        <is>
          <t>Pololu D36V50F6 step-down regulator, 12 V to 6 V 5.5 A - motor rail A (drivers U1 and U3)</t>
        </is>
      </c>
      <c r="D9" s="8" t="inlineStr">
        <is>
          <t>Pololu 4092</t>
        </is>
      </c>
      <c r="E9" s="8" t="inlineStr">
        <is>
          <t>Pololu</t>
        </is>
      </c>
      <c r="F9" s="10" t="inlineStr">
        <is>
          <t>https://www.pololu.com/product/4092</t>
        </is>
      </c>
      <c r="G9" s="11" t="n">
        <v>39.95</v>
      </c>
      <c r="H9" s="8" t="inlineStr">
        <is>
          <t>listed</t>
        </is>
      </c>
      <c r="I9" s="9" t="inlineStr">
        <is>
          <t>Fed from the 12 V bus through fuse F4 (5 A). Four motors x 1 A limit = 4 A worst case.</t>
        </is>
      </c>
      <c r="J9" s="12">
        <f>B9*G9</f>
        <v/>
      </c>
    </row>
    <row r="10">
      <c r="A10" s="8" t="inlineStr">
        <is>
          <t>U7</t>
        </is>
      </c>
      <c r="B10" s="8" t="n">
        <v>1</v>
      </c>
      <c r="C10" s="9" t="inlineStr">
        <is>
          <t>Pololu D36V50F6 step-down regulator, 12 V to 6 V 5.5 A - motor rail B (drivers U2 and U4)</t>
        </is>
      </c>
      <c r="D10" s="8" t="inlineStr">
        <is>
          <t>Pololu 4092</t>
        </is>
      </c>
      <c r="E10" s="8" t="inlineStr">
        <is>
          <t>Pololu</t>
        </is>
      </c>
      <c r="F10" s="10" t="inlineStr">
        <is>
          <t>https://www.pololu.com/product/4092</t>
        </is>
      </c>
      <c r="G10" s="11" t="n">
        <v>39.95</v>
      </c>
      <c r="H10" s="8" t="inlineStr">
        <is>
          <t>listed</t>
        </is>
      </c>
      <c r="I10" s="9" t="inlineStr">
        <is>
          <t>Fed from the 12 V bus through fuse F5 (5 A). Three motors x 1 A limit = 3 A worst case. Revision D: also feeds release servos SV1 and SV2 (3 A stall budget, only while the ground and dome motors are refused).</t>
        </is>
      </c>
      <c r="J10" s="12">
        <f>B10*G10</f>
        <v/>
      </c>
    </row>
    <row r="11">
      <c r="A11" s="8" t="inlineStr">
        <is>
          <t>U8</t>
        </is>
      </c>
      <c r="B11" s="8" t="n">
        <v>1</v>
      </c>
      <c r="C11" s="9" t="inlineStr">
        <is>
          <t>PAM8302 mono class D amplifier, 2.5 W into 4 ohm - dome and body sound</t>
        </is>
      </c>
      <c r="D11" s="8" t="inlineStr">
        <is>
          <t>Adafruit 2130</t>
        </is>
      </c>
      <c r="E11" s="8" t="inlineStr">
        <is>
          <t>Adafruit</t>
        </is>
      </c>
      <c r="F11" s="10" t="inlineStr">
        <is>
          <t>https://www.adafruit.com/product/2130</t>
        </is>
      </c>
      <c r="G11" s="11" t="n">
        <v>3.95</v>
      </c>
      <c r="H11" s="8" t="inlineStr">
        <is>
          <t>listed</t>
        </is>
      </c>
      <c r="I11" s="9" t="inlineStr">
        <is>
          <t>Runs on the 5 V rail. Input is the Pi 3.5 mm jack, left and right summed through two 10 k resistors (R4).</t>
        </is>
      </c>
      <c r="J11" s="12">
        <f>B11*G11</f>
        <v/>
      </c>
    </row>
    <row r="12">
      <c r="A12" s="8" t="inlineStr">
        <is>
          <t>U9</t>
        </is>
      </c>
      <c r="B12" s="8" t="n">
        <v>1</v>
      </c>
      <c r="C12" s="9" t="inlineStr">
        <is>
          <t>ADS1115 16 bit 4 channel ADC, STEMMA QT - battery voltage sense</t>
        </is>
      </c>
      <c r="D12" s="8" t="inlineStr">
        <is>
          <t>Adafruit 1085</t>
        </is>
      </c>
      <c r="E12" s="8" t="inlineStr">
        <is>
          <t>Adafruit</t>
        </is>
      </c>
      <c r="F12" s="10" t="inlineStr">
        <is>
          <t>https://www.adafruit.com/product/1085</t>
        </is>
      </c>
      <c r="G12" s="11" t="n">
        <v>14.95</v>
      </c>
      <c r="H12" s="8" t="inlineStr">
        <is>
          <t>listed</t>
        </is>
      </c>
      <c r="I12" s="9" t="inlineStr">
        <is>
          <t>Address 0x48 on the Pi I2C-1 bus, single-ended input A0, read by firmware/pi/battery.py. Divider R2 (100 k top) over R3 (15 k bottom).</t>
        </is>
      </c>
      <c r="J12" s="12">
        <f>B12*G12</f>
        <v/>
      </c>
    </row>
    <row r="13">
      <c r="A13" s="8" t="inlineStr">
        <is>
          <t>U10</t>
        </is>
      </c>
      <c r="B13" s="8" t="n">
        <v>1</v>
      </c>
      <c r="C13" s="9" t="inlineStr">
        <is>
          <t>Adafruit DRV8871 brushed DC motor driver breakout - 12 V centre-leg actuator (revision D)</t>
        </is>
      </c>
      <c r="D13" s="8" t="inlineStr">
        <is>
          <t>Adafruit 3190</t>
        </is>
      </c>
      <c r="E13" s="8" t="inlineStr">
        <is>
          <t>Adafruit</t>
        </is>
      </c>
      <c r="F13" s="10" t="inlineStr">
        <is>
          <t>https://www.adafruit.com/product/3190</t>
        </is>
      </c>
      <c r="G13" s="11" t="n">
        <v>7.5</v>
      </c>
      <c r="H13" s="8" t="inlineStr">
        <is>
          <t>listed</t>
        </is>
      </c>
      <c r="I13" s="9" t="inlineStr">
        <is>
          <t>VM from the 12 V bus through F7 (2 A). IN1 = KB2040 D8, IN2 = D9. Replace the factory 30 k ILIM resistor with R5 (71.5 k): 0.895 A limit against the actuator's 1.0 A stall. Terminal blocks pre-soldered.</t>
        </is>
      </c>
      <c r="J13" s="12">
        <f>B13*G13</f>
        <v/>
      </c>
    </row>
    <row r="14">
      <c r="A14" s="8" t="inlineStr">
        <is>
          <t>U11</t>
        </is>
      </c>
      <c r="B14" s="8" t="n">
        <v>1</v>
      </c>
      <c r="C14" s="9" t="inlineStr">
        <is>
          <t>4-channel bi-directional logic level converter, BSS138 - release servo signals 3.3 V to 5 V (revision D)</t>
        </is>
      </c>
      <c r="D14" s="8" t="inlineStr">
        <is>
          <t>Adafruit 757</t>
        </is>
      </c>
      <c r="E14" s="8" t="inlineStr">
        <is>
          <t>Adafruit</t>
        </is>
      </c>
      <c r="F14" s="10" t="inlineStr">
        <is>
          <t>https://www.adafruit.com/product/757</t>
        </is>
      </c>
      <c r="G14" s="11" t="n">
        <v>3.95</v>
      </c>
      <c r="H14" s="8" t="inlineStr">
        <is>
          <t>listed</t>
        </is>
      </c>
      <c r="I14" s="9" t="inlineStr">
        <is>
          <t>LV = KB2040 3V3, HV = U5 5 V. Channel 1: D0 to SV1, channel 2: D1 to SV2; channels 3 and 4 unused. 10 k pull-ups on both sides.</t>
        </is>
      </c>
      <c r="J14" s="12">
        <f>B14*G14</f>
        <v/>
      </c>
    </row>
    <row r="15">
      <c r="A15" s="8" t="inlineStr">
        <is>
          <t>SR1</t>
        </is>
      </c>
      <c r="B15" s="8" t="n">
        <v>1</v>
      </c>
      <c r="C15" s="9" t="inlineStr">
        <is>
          <t>Slip ring, 12 wire, 2 A per wire - dome power and signals</t>
        </is>
      </c>
      <c r="D15" s="8" t="inlineStr">
        <is>
          <t>Adafruit 1195 (Prosper SRC012C-12)</t>
        </is>
      </c>
      <c r="E15" s="8" t="inlineStr">
        <is>
          <t>Adafruit</t>
        </is>
      </c>
      <c r="F15" s="10" t="inlineStr">
        <is>
          <t>https://www.adafruit.com/product/1195</t>
        </is>
      </c>
      <c r="G15" s="11" t="n">
        <v>24.95</v>
      </c>
      <c r="H15" s="8" t="inlineStr">
        <is>
          <t>listed</t>
        </is>
      </c>
      <c r="I15" s="9" t="inlineStr">
        <is>
          <t>Body 12.4 mm dia x 19.5 mm, no flange; clamp in the printed post on the body top plate. 28 AWG leads about 150 mm each side.</t>
        </is>
      </c>
      <c r="J15" s="12">
        <f>B15*G15</f>
        <v/>
      </c>
    </row>
    <row r="16">
      <c r="A16" s="8" t="inlineStr">
        <is>
          <t>DS1</t>
        </is>
      </c>
      <c r="B16" s="8" t="n">
        <v>1</v>
      </c>
      <c r="C16" s="9" t="inlineStr">
        <is>
          <t>Mini 0.8 inch 8x8 LED matrix with I2C backpack, yellow-green - front logic, upper window</t>
        </is>
      </c>
      <c r="D16" s="8" t="inlineStr">
        <is>
          <t>Adafruit 872</t>
        </is>
      </c>
      <c r="E16" s="8" t="inlineStr">
        <is>
          <t>Adafruit</t>
        </is>
      </c>
      <c r="F16" s="10" t="inlineStr">
        <is>
          <t>https://www.adafruit.com/product/872</t>
        </is>
      </c>
      <c r="G16" s="11" t="n">
        <v>9.949999999999999</v>
      </c>
      <c r="H16" s="8" t="inlineStr">
        <is>
          <t>listed</t>
        </is>
      </c>
      <c r="I16" s="9" t="inlineStr">
        <is>
          <t>HT16K33 address 0x70: no address jumper bridged.</t>
        </is>
      </c>
      <c r="J16" s="12">
        <f>B16*G16</f>
        <v/>
      </c>
    </row>
    <row r="17">
      <c r="A17" s="8" t="inlineStr">
        <is>
          <t>DS2</t>
        </is>
      </c>
      <c r="B17" s="8" t="n">
        <v>1</v>
      </c>
      <c r="C17" s="9" t="inlineStr">
        <is>
          <t>Mini 0.8 inch 8x8 LED matrix with I2C backpack, yellow-green - front logic, lower window</t>
        </is>
      </c>
      <c r="D17" s="8" t="inlineStr">
        <is>
          <t>Adafruit 872</t>
        </is>
      </c>
      <c r="E17" s="8" t="inlineStr">
        <is>
          <t>Adafruit</t>
        </is>
      </c>
      <c r="F17" s="10" t="inlineStr">
        <is>
          <t>https://www.adafruit.com/product/872</t>
        </is>
      </c>
      <c r="G17" s="11" t="n">
        <v>9.949999999999999</v>
      </c>
      <c r="H17" s="8" t="inlineStr">
        <is>
          <t>listed</t>
        </is>
      </c>
      <c r="I17" s="9" t="inlineStr">
        <is>
          <t>HT16K33 address 0x71: bridge jumper A0.</t>
        </is>
      </c>
      <c r="J17" s="12">
        <f>B17*G17</f>
        <v/>
      </c>
    </row>
    <row r="18">
      <c r="A18" s="8" t="inlineStr">
        <is>
          <t>DS3</t>
        </is>
      </c>
      <c r="B18" s="8" t="n">
        <v>1</v>
      </c>
      <c r="C18" s="9" t="inlineStr">
        <is>
          <t>Mini 0.8 inch 8x8 LED matrix with I2C backpack, red - rear logic, left half</t>
        </is>
      </c>
      <c r="D18" s="8" t="inlineStr">
        <is>
          <t>Adafruit 870</t>
        </is>
      </c>
      <c r="E18" s="8" t="inlineStr">
        <is>
          <t>Adafruit</t>
        </is>
      </c>
      <c r="F18" s="10" t="inlineStr">
        <is>
          <t>https://www.adafruit.com/product/870</t>
        </is>
      </c>
      <c r="G18" s="11" t="n">
        <v>9.949999999999999</v>
      </c>
      <c r="H18" s="8" t="inlineStr">
        <is>
          <t>listed</t>
        </is>
      </c>
      <c r="I18" s="9" t="inlineStr">
        <is>
          <t>HT16K33 address 0x72: bridge jumper A1.</t>
        </is>
      </c>
      <c r="J18" s="12">
        <f>B18*G18</f>
        <v/>
      </c>
    </row>
    <row r="19">
      <c r="A19" s="8" t="inlineStr">
        <is>
          <t>DS4</t>
        </is>
      </c>
      <c r="B19" s="8" t="n">
        <v>1</v>
      </c>
      <c r="C19" s="9" t="inlineStr">
        <is>
          <t>Mini 0.8 inch 8x8 LED matrix with I2C backpack, red - rear logic, right half</t>
        </is>
      </c>
      <c r="D19" s="8" t="inlineStr">
        <is>
          <t>Adafruit 870</t>
        </is>
      </c>
      <c r="E19" s="8" t="inlineStr">
        <is>
          <t>Adafruit</t>
        </is>
      </c>
      <c r="F19" s="10" t="inlineStr">
        <is>
          <t>https://www.adafruit.com/product/870</t>
        </is>
      </c>
      <c r="G19" s="11" t="n">
        <v>9.949999999999999</v>
      </c>
      <c r="H19" s="8" t="inlineStr">
        <is>
          <t>listed</t>
        </is>
      </c>
      <c r="I19" s="9" t="inlineStr">
        <is>
          <t>HT16K33 address 0x73: bridge jumpers A0 and A1.</t>
        </is>
      </c>
      <c r="J19" s="12">
        <f>B19*G19</f>
        <v/>
      </c>
    </row>
    <row r="20">
      <c r="A20" s="8" t="inlineStr">
        <is>
          <t>DS5</t>
        </is>
      </c>
      <c r="B20" s="8" t="n">
        <v>1</v>
      </c>
      <c r="C20" s="9" t="inlineStr">
        <is>
          <t>1.28 inch 240x240 round TFT, GC9A01A, EYESPI - radar eye</t>
        </is>
      </c>
      <c r="D20" s="8" t="inlineStr">
        <is>
          <t>Adafruit 6178</t>
        </is>
      </c>
      <c r="E20" s="8" t="inlineStr">
        <is>
          <t>Adafruit</t>
        </is>
      </c>
      <c r="F20" s="10" t="inlineStr">
        <is>
          <t>https://www.adafruit.com/product/6178</t>
        </is>
      </c>
      <c r="G20" s="11" t="n">
        <v>17.5</v>
      </c>
      <c r="H20" s="8" t="inlineStr">
        <is>
          <t>listed</t>
        </is>
      </c>
      <c r="I20" s="9" t="inlineStr">
        <is>
          <t>Pi SPI0 through the slip ring. Backlight pin tied to 5 V through R1 (100 ohm) inside the dome.</t>
        </is>
      </c>
      <c r="J20" s="12">
        <f>B20*G20</f>
        <v/>
      </c>
    </row>
    <row r="21">
      <c r="A21" s="8" t="inlineStr">
        <is>
          <t>LED1</t>
        </is>
      </c>
      <c r="B21" s="8" t="n">
        <v>1</v>
      </c>
      <c r="C21" s="9" t="inlineStr">
        <is>
          <t>NeoPixel Jewel, 7 x 5050 RGB - front PSI</t>
        </is>
      </c>
      <c r="D21" s="8" t="inlineStr">
        <is>
          <t>Adafruit 2226</t>
        </is>
      </c>
      <c r="E21" s="8" t="inlineStr">
        <is>
          <t>Adafruit</t>
        </is>
      </c>
      <c r="F21" s="10" t="inlineStr">
        <is>
          <t>https://www.adafruit.com/product/2226</t>
        </is>
      </c>
      <c r="G21" s="11" t="n">
        <v>5.95</v>
      </c>
      <c r="H21" s="8" t="inlineStr">
        <is>
          <t>listed</t>
        </is>
      </c>
      <c r="I21" s="9" t="inlineStr">
        <is>
          <t>Chain positions 0-6. Data in from slip ring wire 5, data out to LED2.</t>
        </is>
      </c>
      <c r="J21" s="12">
        <f>B21*G21</f>
        <v/>
      </c>
    </row>
    <row r="22">
      <c r="A22" s="8" t="inlineStr">
        <is>
          <t>LED2</t>
        </is>
      </c>
      <c r="B22" s="8" t="n">
        <v>1</v>
      </c>
      <c r="C22" s="9" t="inlineStr">
        <is>
          <t>NeoPixel Jewel, 7 x 5050 RGB - rear PSI</t>
        </is>
      </c>
      <c r="D22" s="8" t="inlineStr">
        <is>
          <t>Adafruit 2226</t>
        </is>
      </c>
      <c r="E22" s="8" t="inlineStr">
        <is>
          <t>Adafruit</t>
        </is>
      </c>
      <c r="F22" s="10" t="inlineStr">
        <is>
          <t>https://www.adafruit.com/product/2226</t>
        </is>
      </c>
      <c r="G22" s="11" t="n">
        <v>5.95</v>
      </c>
      <c r="H22" s="8" t="inlineStr">
        <is>
          <t>listed</t>
        </is>
      </c>
      <c r="I22" s="9" t="inlineStr">
        <is>
          <t>Chain positions 7-13. Data out to LED3.</t>
        </is>
      </c>
      <c r="J22" s="12">
        <f>B22*G22</f>
        <v/>
      </c>
    </row>
    <row r="23">
      <c r="A23" s="8" t="inlineStr">
        <is>
          <t>LED3-LED5</t>
        </is>
      </c>
      <c r="B23" s="8" t="n">
        <v>1</v>
      </c>
      <c r="C23" s="9" t="inlineStr">
        <is>
          <t>Diffused 8 mm through-hole NeoPixels, pack of 5 - holoprojectors HP1, HP2, HP3</t>
        </is>
      </c>
      <c r="D23" s="8" t="inlineStr">
        <is>
          <t>Adafruit 1734</t>
        </is>
      </c>
      <c r="E23" s="8" t="inlineStr">
        <is>
          <t>Adafruit</t>
        </is>
      </c>
      <c r="F23" s="10" t="inlineStr">
        <is>
          <t>https://www.adafruit.com/product/1734</t>
        </is>
      </c>
      <c r="G23" s="11" t="n">
        <v>4.95</v>
      </c>
      <c r="H23" s="8" t="inlineStr">
        <is>
          <t>listed</t>
        </is>
      </c>
      <c r="I23" s="9" t="inlineStr">
        <is>
          <t>Three used, two spare; chain positions 14-16. Page reads Out of stock on 2026-09-12; alternate is Adafruit 1655 (5050 with driver, 10 pack, $4.50) on a hand-made carrier.</t>
        </is>
      </c>
      <c r="J23" s="12">
        <f>B23*G23</f>
        <v/>
      </c>
    </row>
    <row r="24">
      <c r="A24" s="8" t="inlineStr">
        <is>
          <t>LS1</t>
        </is>
      </c>
      <c r="B24" s="8" t="n">
        <v>1</v>
      </c>
      <c r="C24" s="9" t="inlineStr">
        <is>
          <t>Speaker, 3 inch, 4 ohm 3 W - behind the front vent</t>
        </is>
      </c>
      <c r="D24" s="8" t="inlineStr">
        <is>
          <t>Adafruit 1314</t>
        </is>
      </c>
      <c r="E24" s="8" t="inlineStr">
        <is>
          <t>Adafruit</t>
        </is>
      </c>
      <c r="F24" s="10" t="inlineStr">
        <is>
          <t>https://www.adafruit.com/product/1314</t>
        </is>
      </c>
      <c r="G24" s="11" t="n">
        <v>1.95</v>
      </c>
      <c r="H24" s="8" t="inlineStr">
        <is>
          <t>listed</t>
        </is>
      </c>
      <c r="I24" s="9" t="inlineStr">
        <is>
          <t>Page reads Out of stock on 2026-09-12. Noted alternate: Adafruit 1313, 3 inch 8 ohm 1 W, $1.95, same 77.8 mm footprint and 60 mm tab spacing, about half the output.</t>
        </is>
      </c>
      <c r="J24" s="12">
        <f>B24*G24</f>
        <v/>
      </c>
    </row>
    <row r="25">
      <c r="A25" s="8" t="inlineStr">
        <is>
          <t>M1</t>
        </is>
      </c>
      <c r="B25" s="8" t="n">
        <v>1</v>
      </c>
      <c r="C25" s="9" t="inlineStr">
        <is>
          <t>TT gearmotor 1:48, 3-6 V - left foot, front</t>
        </is>
      </c>
      <c r="D25" s="8" t="inlineStr">
        <is>
          <t>Adafruit 3777</t>
        </is>
      </c>
      <c r="E25" s="8" t="inlineStr">
        <is>
          <t>Adafruit</t>
        </is>
      </c>
      <c r="F25" s="10" t="inlineStr">
        <is>
          <t>https://www.adafruit.com/product/3777</t>
        </is>
      </c>
      <c r="G25" s="11" t="n">
        <v>2.95</v>
      </c>
      <c r="H25" s="8" t="inlineStr">
        <is>
          <t>listed</t>
        </is>
      </c>
      <c r="I25" s="9" t="inlineStr">
        <is>
          <t>Driver U1 channel A. 22 AWG extension to a JST-XH pair at the driver.</t>
        </is>
      </c>
      <c r="J25" s="12">
        <f>B25*G25</f>
        <v/>
      </c>
    </row>
    <row r="26">
      <c r="A26" s="8" t="inlineStr">
        <is>
          <t>M2</t>
        </is>
      </c>
      <c r="B26" s="8" t="n">
        <v>1</v>
      </c>
      <c r="C26" s="9" t="inlineStr">
        <is>
          <t>TT gearmotor 1:48, 3-6 V - left foot, rear</t>
        </is>
      </c>
      <c r="D26" s="8" t="inlineStr">
        <is>
          <t>Adafruit 3777</t>
        </is>
      </c>
      <c r="E26" s="8" t="inlineStr">
        <is>
          <t>Adafruit</t>
        </is>
      </c>
      <c r="F26" s="10" t="inlineStr">
        <is>
          <t>https://www.adafruit.com/product/3777</t>
        </is>
      </c>
      <c r="G26" s="11" t="n">
        <v>2.95</v>
      </c>
      <c r="H26" s="8" t="inlineStr">
        <is>
          <t>listed</t>
        </is>
      </c>
      <c r="I26" s="9" t="inlineStr">
        <is>
          <t>Driver U1 channel B.</t>
        </is>
      </c>
      <c r="J26" s="12">
        <f>B26*G26</f>
        <v/>
      </c>
    </row>
    <row r="27">
      <c r="A27" s="8" t="inlineStr">
        <is>
          <t>M3</t>
        </is>
      </c>
      <c r="B27" s="8" t="n">
        <v>1</v>
      </c>
      <c r="C27" s="9" t="inlineStr">
        <is>
          <t>TT gearmotor 1:48, 3-6 V - right foot, front</t>
        </is>
      </c>
      <c r="D27" s="8" t="inlineStr">
        <is>
          <t>Adafruit 3777</t>
        </is>
      </c>
      <c r="E27" s="8" t="inlineStr">
        <is>
          <t>Adafruit</t>
        </is>
      </c>
      <c r="F27" s="10" t="inlineStr">
        <is>
          <t>https://www.adafruit.com/product/3777</t>
        </is>
      </c>
      <c r="G27" s="11" t="n">
        <v>2.95</v>
      </c>
      <c r="H27" s="8" t="inlineStr">
        <is>
          <t>listed</t>
        </is>
      </c>
      <c r="I27" s="9" t="inlineStr">
        <is>
          <t>Driver U2 channel A.</t>
        </is>
      </c>
      <c r="J27" s="12">
        <f>B27*G27</f>
        <v/>
      </c>
    </row>
    <row r="28">
      <c r="A28" s="8" t="inlineStr">
        <is>
          <t>M4</t>
        </is>
      </c>
      <c r="B28" s="8" t="n">
        <v>1</v>
      </c>
      <c r="C28" s="9" t="inlineStr">
        <is>
          <t>TT gearmotor 1:48, 3-6 V - right foot, rear</t>
        </is>
      </c>
      <c r="D28" s="8" t="inlineStr">
        <is>
          <t>Adafruit 3777</t>
        </is>
      </c>
      <c r="E28" s="8" t="inlineStr">
        <is>
          <t>Adafruit</t>
        </is>
      </c>
      <c r="F28" s="10" t="inlineStr">
        <is>
          <t>https://www.adafruit.com/product/3777</t>
        </is>
      </c>
      <c r="G28" s="11" t="n">
        <v>2.95</v>
      </c>
      <c r="H28" s="8" t="inlineStr">
        <is>
          <t>listed</t>
        </is>
      </c>
      <c r="I28" s="9" t="inlineStr">
        <is>
          <t>Driver U2 channel B.</t>
        </is>
      </c>
      <c r="J28" s="12">
        <f>B28*G28</f>
        <v/>
      </c>
    </row>
    <row r="29">
      <c r="A29" s="8" t="inlineStr">
        <is>
          <t>M5</t>
        </is>
      </c>
      <c r="B29" s="8" t="n">
        <v>1</v>
      </c>
      <c r="C29" s="9" t="inlineStr">
        <is>
          <t>TT gearmotor 1:48, 3-6 V - centre foot, front</t>
        </is>
      </c>
      <c r="D29" s="8" t="inlineStr">
        <is>
          <t>Adafruit 3777</t>
        </is>
      </c>
      <c r="E29" s="8" t="inlineStr">
        <is>
          <t>Adafruit</t>
        </is>
      </c>
      <c r="F29" s="10" t="inlineStr">
        <is>
          <t>https://www.adafruit.com/product/3777</t>
        </is>
      </c>
      <c r="G29" s="11" t="n">
        <v>2.95</v>
      </c>
      <c r="H29" s="8" t="inlineStr">
        <is>
          <t>listed</t>
        </is>
      </c>
      <c r="I29" s="9" t="inlineStr">
        <is>
          <t>Driver U3 channel A.</t>
        </is>
      </c>
      <c r="J29" s="12">
        <f>B29*G29</f>
        <v/>
      </c>
    </row>
    <row r="30">
      <c r="A30" s="8" t="inlineStr">
        <is>
          <t>M6</t>
        </is>
      </c>
      <c r="B30" s="8" t="n">
        <v>1</v>
      </c>
      <c r="C30" s="9" t="inlineStr">
        <is>
          <t>TT gearmotor 1:48, 3-6 V - centre foot, rear</t>
        </is>
      </c>
      <c r="D30" s="8" t="inlineStr">
        <is>
          <t>Adafruit 3777</t>
        </is>
      </c>
      <c r="E30" s="8" t="inlineStr">
        <is>
          <t>Adafruit</t>
        </is>
      </c>
      <c r="F30" s="10" t="inlineStr">
        <is>
          <t>https://www.adafruit.com/product/3777</t>
        </is>
      </c>
      <c r="G30" s="11" t="n">
        <v>2.95</v>
      </c>
      <c r="H30" s="8" t="inlineStr">
        <is>
          <t>listed</t>
        </is>
      </c>
      <c r="I30" s="9" t="inlineStr">
        <is>
          <t>Driver U3 channel B.</t>
        </is>
      </c>
      <c r="J30" s="12">
        <f>B30*G30</f>
        <v/>
      </c>
    </row>
    <row r="31">
      <c r="A31" s="8" t="inlineStr">
        <is>
          <t>M7</t>
        </is>
      </c>
      <c r="B31" s="8" t="n">
        <v>1</v>
      </c>
      <c r="C31" s="9" t="inlineStr">
        <is>
          <t>TT gearmotor 1:48, 3-6 V - head friction drive</t>
        </is>
      </c>
      <c r="D31" s="8" t="inlineStr">
        <is>
          <t>Adafruit 3777</t>
        </is>
      </c>
      <c r="E31" s="8" t="inlineStr">
        <is>
          <t>Adafruit</t>
        </is>
      </c>
      <c r="F31" s="10" t="inlineStr">
        <is>
          <t>https://www.adafruit.com/product/3777</t>
        </is>
      </c>
      <c r="G31" s="11" t="n">
        <v>2.95</v>
      </c>
      <c r="H31" s="8" t="inlineStr">
        <is>
          <t>listed</t>
        </is>
      </c>
      <c r="I31" s="9" t="inlineStr">
        <is>
          <t>Driver U4 channel A, under the body top plate on the tensioned mount.</t>
        </is>
      </c>
      <c r="J31" s="12">
        <f>B31*G31</f>
        <v/>
      </c>
    </row>
    <row r="32">
      <c r="A32" s="8" t="inlineStr">
        <is>
          <t>W1-W14</t>
        </is>
      </c>
      <c r="B32" s="8" t="n">
        <v>14</v>
      </c>
      <c r="C32" s="9" t="inlineStr">
        <is>
          <t>Orange wheel for TT motor, 63 x 29 mm</t>
        </is>
      </c>
      <c r="D32" s="8" t="inlineStr">
        <is>
          <t>Adafruit 3766</t>
        </is>
      </c>
      <c r="E32" s="8" t="inlineStr">
        <is>
          <t>Adafruit</t>
        </is>
      </c>
      <c r="F32" s="10" t="inlineStr">
        <is>
          <t>https://www.adafruit.com/product/3766</t>
        </is>
      </c>
      <c r="G32" s="11" t="n">
        <v>1.5</v>
      </c>
      <c r="H32" s="8" t="inlineStr">
        <is>
          <t>listed</t>
        </is>
      </c>
      <c r="I32" s="9" t="inlineStr">
        <is>
          <t>Thirteen used (four per foot, one on the head drive) and one spare. Page reads Out of stock on 2026-09-12.</t>
        </is>
      </c>
      <c r="J32" s="12">
        <f>B32*G32</f>
        <v/>
      </c>
    </row>
    <row r="33">
      <c r="A33" s="8" t="inlineStr">
        <is>
          <t>ACT1</t>
        </is>
      </c>
      <c r="B33" s="8" t="n">
        <v>1</v>
      </c>
      <c r="C33" s="9" t="inlineStr">
        <is>
          <t>Linear actuator with position potentiometer, 100 mm stroke, 12 V, 256:1 - centre leg and body tilt (revision D)</t>
        </is>
      </c>
      <c r="D33" s="8" t="inlineStr">
        <is>
          <t>Actuonix P16-100-256-12-P</t>
        </is>
      </c>
      <c r="E33" s="8" t="inlineStr">
        <is>
          <t>Actuonix</t>
        </is>
      </c>
      <c r="F33" s="10" t="inlineStr">
        <is>
          <t>https://www.actuonix.com/p16-100-256-12-p</t>
        </is>
      </c>
      <c r="G33" s="11" t="n">
        <v>90</v>
      </c>
      <c r="H33" s="8" t="inlineStr">
        <is>
          <t>listed</t>
        </is>
      </c>
      <c r="I33" s="9" t="inlineStr">
        <is>
          <t>1.0 A stall at 12 V, 20 % duty, 4.8 mm/s no load, 11 k +/-50 % pot. Leads: orange pot -, purple wiper, red motor +, black motor -, yellow pot +. Driven by U10. Page reads Back Order on 2026-09-12.</t>
        </is>
      </c>
      <c r="J33" s="12">
        <f>B33*G33</f>
        <v/>
      </c>
    </row>
    <row r="34">
      <c r="A34" s="8" t="inlineStr">
        <is>
          <t>SW2-SW3</t>
        </is>
      </c>
      <c r="B34" s="8" t="n">
        <v>2</v>
      </c>
      <c r="C34" s="9" t="inlineStr">
        <is>
          <t>Miniature basic switch, hinge lever, SPDT, gold alloy crossbar contact - left and right shoulder lock sensors (revision D)</t>
        </is>
      </c>
      <c r="D34" s="8" t="inlineStr">
        <is>
          <t>Omron SS-01GL (DigiKey SW1067-ND)</t>
        </is>
      </c>
      <c r="E34" s="8" t="inlineStr">
        <is>
          <t>DigiKey</t>
        </is>
      </c>
      <c r="F34" s="10" t="inlineStr">
        <is>
          <t>https://www.digikey.com/en/products/detail/omron-electronics-inc-emc-div/SS-01GL/369830</t>
        </is>
      </c>
      <c r="G34" s="11" t="n">
        <v>4.23</v>
      </c>
      <c r="H34" s="8" t="inlineStr">
        <is>
          <t>listed</t>
        </is>
      </c>
      <c r="I34" s="9" t="inlineStr">
        <is>
          <t>COM to ground, NO and NC to pulled-up KB2040 inputs: SW2 (left) SCK/MISO, SW3 (right) SDA/SCL through J14. Seated = NO closed. Minimum load 5 V DC 1 mA; this circuit runs 3.3 V at 1 mA, so bench-check contact reliability. Solder terminals.</t>
        </is>
      </c>
      <c r="J34" s="12">
        <f>B34*G34</f>
        <v/>
      </c>
    </row>
    <row r="35">
      <c r="A35" s="8" t="inlineStr">
        <is>
          <t>SV1-SV2</t>
        </is>
      </c>
      <c r="B35" s="8" t="n">
        <v>2</v>
      </c>
      <c r="C35" s="9" t="inlineStr">
        <is>
          <t>Standard size high torque metal gear servo, TowerPro MG995 - left and right lock release (revision D)</t>
        </is>
      </c>
      <c r="D35" s="8" t="inlineStr">
        <is>
          <t>Adafruit 1142</t>
        </is>
      </c>
      <c r="E35" s="8" t="inlineStr">
        <is>
          <t>Adafruit</t>
        </is>
      </c>
      <c r="F35" s="10" t="inlineStr">
        <is>
          <t>https://www.adafruit.com/product/1142</t>
        </is>
      </c>
      <c r="G35" s="11" t="n">
        <v>19.95</v>
      </c>
      <c r="H35" s="8" t="inlineStr">
        <is>
          <t>listed</t>
        </is>
      </c>
      <c r="I35" s="9" t="inlineStr">
        <is>
          <t>4.8-6 V from the U7 6 V rail B through J13A/J13B. 6.0 V gives 19 % release-force margin; the check still passes at 4.8 V. Engage 1500 us; release 1321 us left and 1679 us right (16.3 deg), calibrated on each lever. Stall current not published; 1.5 A each is budgeted. Page reads Out of stock on 2026-09-12; a generic MG995 is listed by ProtoSupplies (MOT-22) at $6.95.</t>
        </is>
      </c>
      <c r="J35" s="12">
        <f>B35*G35</f>
        <v/>
      </c>
    </row>
    <row r="36">
      <c r="A36" s="8" t="inlineStr">
        <is>
          <t>BT1</t>
        </is>
      </c>
      <c r="B36" s="8" t="n">
        <v>1</v>
      </c>
      <c r="C36" s="9" t="inlineStr">
        <is>
          <t>Battery, 12 V 7 Ah sealed lead acid, F2 terminals</t>
        </is>
      </c>
      <c r="D36" s="8" t="inlineStr">
        <is>
          <t>Power-Sonic PS-1270 F2</t>
        </is>
      </c>
      <c r="E36" s="8" t="inlineStr">
        <is>
          <t>TRC Electronics</t>
        </is>
      </c>
      <c r="F36" s="10" t="inlineStr">
        <is>
          <t>https://www.trcelectronics.com/products/powersonic-ps-1270-f2</t>
        </is>
      </c>
      <c r="G36" s="11" t="n">
        <v>19</v>
      </c>
      <c r="H36" s="8" t="inlineStr">
        <is>
          <t>listed</t>
        </is>
      </c>
      <c r="I36" s="9" t="inlineStr">
        <is>
          <t>151 x 65 x 94 mm, 100 mm over the terminals, about 2 kg. Sits on the shelf in body_lower, strapped. Never charge it inverted.</t>
        </is>
      </c>
      <c r="J36" s="12">
        <f>B36*G36</f>
        <v/>
      </c>
    </row>
    <row r="37">
      <c r="A37" s="8" t="inlineStr">
        <is>
          <t>G1</t>
        </is>
      </c>
      <c r="B37" s="8" t="n">
        <v>1</v>
      </c>
      <c r="C37" s="9" t="inlineStr">
        <is>
          <t>SLA charger, 3 stage, 12 V 1.5 A, 5.5 x 2.1 mm centre-positive barrel plug</t>
        </is>
      </c>
      <c r="D37" s="8" t="inlineStr">
        <is>
          <t>PowerStream PST-P2012-A12B</t>
        </is>
      </c>
      <c r="E37" s="8" t="inlineStr">
        <is>
          <t>PowerStream</t>
        </is>
      </c>
      <c r="F37" s="10" t="inlineStr">
        <is>
          <t>https://www.powerstream.com/12V-car-charger.htm</t>
        </is>
      </c>
      <c r="G37" s="11" t="n">
        <v>22</v>
      </c>
      <c r="H37" s="8" t="inlineStr">
        <is>
          <t>listed</t>
        </is>
      </c>
      <c r="I37" s="9" t="inlineStr">
        <is>
          <t>Bulk 1.5 A, absorb 14.75 V, float 13.75 V. External; it plugs into J1 with the robot switched off.</t>
        </is>
      </c>
      <c r="J37" s="12">
        <f>B37*G37</f>
        <v/>
      </c>
    </row>
    <row r="38">
      <c r="A38" s="8" t="inlineStr">
        <is>
          <t>J1</t>
        </is>
      </c>
      <c r="B38" s="8" t="n">
        <v>1</v>
      </c>
      <c r="C38" s="9" t="inlineStr">
        <is>
          <t>Panel charge jack, 5.5 mm OD barrel, threaded bushing</t>
        </is>
      </c>
      <c r="D38" s="8" t="inlineStr">
        <is>
          <t>Switchcraft L722A (DigiKey SC1151-ND)</t>
        </is>
      </c>
      <c r="E38" s="8" t="inlineStr">
        <is>
          <t>DigiKey</t>
        </is>
      </c>
      <c r="F38" s="10" t="inlineStr">
        <is>
          <t>https://www.digikey.com/en/products/detail/switchcraft-inc/L722A/241928</t>
        </is>
      </c>
      <c r="G38" s="11" t="n">
        <v>6.65</v>
      </c>
      <c r="H38" s="8" t="inlineStr">
        <is>
          <t>listed</t>
        </is>
      </c>
      <c r="I38" s="9" t="inlineStr">
        <is>
          <t>Rated 5 A 48 V. Mounts in the rear lower band of body_lower. Wired to the battery side of SW1 through fuse F2, so it charges with the robot off.</t>
        </is>
      </c>
      <c r="J38" s="12">
        <f>B38*G38</f>
        <v/>
      </c>
    </row>
    <row r="39">
      <c r="A39" s="8" t="inlineStr">
        <is>
          <t>SW1</t>
        </is>
      </c>
      <c r="B39" s="8" t="n">
        <v>1</v>
      </c>
      <c r="C39" s="9" t="inlineStr">
        <is>
          <t>Main power switch, SPST rocker, 20 A 12 V DC, snap-in</t>
        </is>
      </c>
      <c r="D39" s="8" t="inlineStr">
        <is>
          <t>Carling V1D2S00B-GZCXX-1XX-XFWD1</t>
        </is>
      </c>
      <c r="E39" s="8" t="inlineStr">
        <is>
          <t>DigiKey</t>
        </is>
      </c>
      <c r="F39" s="10" t="inlineStr">
        <is>
          <t>https://www.digikey.com/en/products/detail/carling-technologies/V1D2S00B-GZCXX-1XX-XFWD1/11587384</t>
        </is>
      </c>
      <c r="G39" s="11" t="n">
        <v>8.630000000000001</v>
      </c>
      <c r="H39" s="8" t="inlineStr">
        <is>
          <t>listed</t>
        </is>
      </c>
      <c r="I39" s="9" t="inlineStr">
        <is>
          <t>Panel cutout 36.83 x 21.08 mm in the rear lower band, beside J1. 0.250 inch quick-connect terminals.</t>
        </is>
      </c>
      <c r="J39" s="12">
        <f>B39*G39</f>
        <v/>
      </c>
    </row>
    <row r="40">
      <c r="A40" s="8" t="inlineStr">
        <is>
          <t>FH1-FH7</t>
        </is>
      </c>
      <c r="B40" s="8" t="n">
        <v>7</v>
      </c>
      <c r="C40" s="9" t="inlineStr">
        <is>
          <t>In-line ATO/ATC blade fuse holder, 20 A 32 V, 16 AWG leads</t>
        </is>
      </c>
      <c r="D40" s="8" t="inlineStr">
        <is>
          <t>Littelfuse FHAC0001ZXJ (DigiKey F3209-ND)</t>
        </is>
      </c>
      <c r="E40" s="8" t="inlineStr">
        <is>
          <t>DigiKey</t>
        </is>
      </c>
      <c r="F40" s="10" t="inlineStr">
        <is>
          <t>https://www.digikey.com/en/products/detail/littelfuse-commercial-vehicle-products/FHAC0001ZXJ/2004062</t>
        </is>
      </c>
      <c r="G40" s="11" t="n">
        <v>7.37</v>
      </c>
      <c r="H40" s="8" t="inlineStr">
        <is>
          <t>listed</t>
        </is>
      </c>
      <c r="I40" s="9" t="inlineStr">
        <is>
          <t>Seven: FH1 main 15 A, FH2 charge 3 A, FH3 Pi rail 3 A, FH4 motor rail A 5 A, FH5 motor rail B 5 A, FH6 dome 5 V feed 2 A, FH7 actuator driver 2 A (revision D).</t>
        </is>
      </c>
      <c r="J40" s="12">
        <f>B40*G40</f>
        <v/>
      </c>
    </row>
    <row r="41">
      <c r="A41" s="8" t="inlineStr">
        <is>
          <t>F1</t>
        </is>
      </c>
      <c r="B41" s="8" t="n">
        <v>1</v>
      </c>
      <c r="C41" s="9" t="inlineStr">
        <is>
          <t>Fuse, ATO blade, 15 A 32 V - main, at the battery positive lead</t>
        </is>
      </c>
      <c r="D41" s="8" t="inlineStr">
        <is>
          <t>Littelfuse 0287015.PXCN</t>
        </is>
      </c>
      <c r="E41" s="8" t="inlineStr">
        <is>
          <t>DigiKey</t>
        </is>
      </c>
      <c r="F41" s="10" t="inlineStr">
        <is>
          <t>https://www.digikey.com/en/products/detail/littelfuse-inc/0287015.PXCN/2519816</t>
        </is>
      </c>
      <c r="G41" s="11" t="n">
        <v>0.44</v>
      </c>
      <c r="H41" s="8" t="inlineStr">
        <is>
          <t>listed</t>
        </is>
      </c>
      <c r="I41" s="9" t="inlineStr">
        <is>
          <t>Within 100 mm of the battery terminal. Buy spares; they cost $0.44 each.</t>
        </is>
      </c>
      <c r="J41" s="12">
        <f>B41*G41</f>
        <v/>
      </c>
    </row>
    <row r="42">
      <c r="A42" s="8" t="inlineStr">
        <is>
          <t>F2</t>
        </is>
      </c>
      <c r="B42" s="8" t="n">
        <v>1</v>
      </c>
      <c r="C42" s="9" t="inlineStr">
        <is>
          <t>Fuse, ATO blade, 3 A 32 V - charge port branch</t>
        </is>
      </c>
      <c r="D42" s="8" t="inlineStr">
        <is>
          <t>Littelfuse 0287003.PXCN</t>
        </is>
      </c>
      <c r="E42" s="8" t="inlineStr">
        <is>
          <t>DigiKey</t>
        </is>
      </c>
      <c r="F42" s="10" t="inlineStr">
        <is>
          <t>https://www.digikey.com/en/products/detail/littelfuse-inc/0287003-PXCN/3102553</t>
        </is>
      </c>
      <c r="G42" s="11" t="n">
        <v>0.44</v>
      </c>
      <c r="H42" s="8" t="inlineStr">
        <is>
          <t>listed</t>
        </is>
      </c>
      <c r="I42" s="9" t="inlineStr">
        <is>
          <t>Charger delivers 1.5 A maximum.</t>
        </is>
      </c>
      <c r="J42" s="12">
        <f>B42*G42</f>
        <v/>
      </c>
    </row>
    <row r="43">
      <c r="A43" s="8" t="inlineStr">
        <is>
          <t>F3</t>
        </is>
      </c>
      <c r="B43" s="8" t="n">
        <v>1</v>
      </c>
      <c r="C43" s="9" t="inlineStr">
        <is>
          <t>Fuse, ATO blade, 3 A 32 V - 5 V regulator input</t>
        </is>
      </c>
      <c r="D43" s="8" t="inlineStr">
        <is>
          <t>Littelfuse 0287003.PXCN</t>
        </is>
      </c>
      <c r="E43" s="8" t="inlineStr">
        <is>
          <t>DigiKey</t>
        </is>
      </c>
      <c r="F43" s="10" t="inlineStr">
        <is>
          <t>https://www.digikey.com/en/products/detail/littelfuse-inc/0287003-PXCN/3102553</t>
        </is>
      </c>
      <c r="G43" s="11" t="n">
        <v>0.44</v>
      </c>
      <c r="H43" s="8" t="inlineStr">
        <is>
          <t>listed</t>
        </is>
      </c>
      <c r="I43" s="9" t="inlineStr">
        <is>
          <t>Measured 12 V draw of the 5 V rail is 0.65 A idle, 1.4 A worst case.</t>
        </is>
      </c>
      <c r="J43" s="12">
        <f>B43*G43</f>
        <v/>
      </c>
    </row>
    <row r="44">
      <c r="A44" s="8" t="inlineStr">
        <is>
          <t>F4</t>
        </is>
      </c>
      <c r="B44" s="8" t="n">
        <v>1</v>
      </c>
      <c r="C44" s="9" t="inlineStr">
        <is>
          <t>Fuse, ATO blade, 5 A 32 V - 6 V motor rail A input</t>
        </is>
      </c>
      <c r="D44" s="8" t="inlineStr">
        <is>
          <t>Littelfuse 0287005.PXCN</t>
        </is>
      </c>
      <c r="E44" s="8" t="inlineStr">
        <is>
          <t>DigiKey</t>
        </is>
      </c>
      <c r="F44" s="10" t="inlineStr">
        <is>
          <t>https://www.digikey.com/en/products/detail/littelfuse-inc/0287005-PXCN/2519811</t>
        </is>
      </c>
      <c r="G44" s="11" t="n">
        <v>0.44</v>
      </c>
      <c r="H44" s="8" t="inlineStr">
        <is>
          <t>listed</t>
        </is>
      </c>
      <c r="I44" s="9" t="inlineStr">
        <is>
          <t>Four motors at the DRV8833 1 A limit is 24 W, 2.2 A from 12 V.</t>
        </is>
      </c>
      <c r="J44" s="12">
        <f>B44*G44</f>
        <v/>
      </c>
    </row>
    <row r="45">
      <c r="A45" s="8" t="inlineStr">
        <is>
          <t>F5</t>
        </is>
      </c>
      <c r="B45" s="8" t="n">
        <v>1</v>
      </c>
      <c r="C45" s="9" t="inlineStr">
        <is>
          <t>Fuse, ATO blade, 5 A 32 V - 6 V motor rail B input</t>
        </is>
      </c>
      <c r="D45" s="8" t="inlineStr">
        <is>
          <t>Littelfuse 0287005.PXCN</t>
        </is>
      </c>
      <c r="E45" s="8" t="inlineStr">
        <is>
          <t>DigiKey</t>
        </is>
      </c>
      <c r="F45" s="10" t="inlineStr">
        <is>
          <t>https://www.digikey.com/en/products/detail/littelfuse-inc/0287005-PXCN/2519811</t>
        </is>
      </c>
      <c r="G45" s="11" t="n">
        <v>0.44</v>
      </c>
      <c r="H45" s="8" t="inlineStr">
        <is>
          <t>listed</t>
        </is>
      </c>
      <c r="I45" s="9" t="inlineStr">
        <is>
          <t>Three motors at the 1 A limit is 18 W, 1.7 A from 12 V.</t>
        </is>
      </c>
      <c r="J45" s="12">
        <f>B45*G45</f>
        <v/>
      </c>
    </row>
    <row r="46">
      <c r="A46" s="8" t="inlineStr">
        <is>
          <t>F6</t>
        </is>
      </c>
      <c r="B46" s="8" t="n">
        <v>1</v>
      </c>
      <c r="C46" s="9" t="inlineStr">
        <is>
          <t>Fuse, ATO blade, 2 A 32 V - dome 5 V feed through the slip ring</t>
        </is>
      </c>
      <c r="D46" s="8" t="inlineStr">
        <is>
          <t>Littelfuse 0287002.PXCN</t>
        </is>
      </c>
      <c r="E46" s="8" t="inlineStr">
        <is>
          <t>DigiKey</t>
        </is>
      </c>
      <c r="F46" s="10" t="inlineStr">
        <is>
          <t>https://www.digikey.com/en/products/detail/littelfuse-inc/0287002-PXCN/3102552</t>
        </is>
      </c>
      <c r="G46" s="11" t="n">
        <v>0.44</v>
      </c>
      <c r="H46" s="8" t="inlineStr">
        <is>
          <t>listed</t>
        </is>
      </c>
      <c r="I46" s="9" t="inlineStr">
        <is>
          <t>Dome worst case is 1.6 A (17 NeoPixels at 60 mA, four matrices, one TFT). Two slip-ring wires carry the 5 V, two carry the return.</t>
        </is>
      </c>
      <c r="J46" s="12">
        <f>B46*G46</f>
        <v/>
      </c>
    </row>
    <row r="47">
      <c r="A47" s="8" t="inlineStr">
        <is>
          <t>F7</t>
        </is>
      </c>
      <c r="B47" s="8" t="n">
        <v>1</v>
      </c>
      <c r="C47" s="9" t="inlineStr">
        <is>
          <t>Fuse, ATO blade, 2 A 32 V - 12 V actuator driver U10 (revision D)</t>
        </is>
      </c>
      <c r="D47" s="8" t="inlineStr">
        <is>
          <t>Littelfuse 0287002.PXCN</t>
        </is>
      </c>
      <c r="E47" s="8" t="inlineStr">
        <is>
          <t>DigiKey</t>
        </is>
      </c>
      <c r="F47" s="10" t="inlineStr">
        <is>
          <t>https://www.digikey.com/en/products/detail/littelfuse-inc/0287002-PXCN/3102552</t>
        </is>
      </c>
      <c r="G47" s="11" t="n">
        <v>0.44</v>
      </c>
      <c r="H47" s="8" t="inlineStr">
        <is>
          <t>listed</t>
        </is>
      </c>
      <c r="I47" s="9" t="inlineStr">
        <is>
          <t>In holder FH7. Actuator stall is 1.0 A at 12 V; U10 limits at 0.895 A.</t>
        </is>
      </c>
      <c r="J47" s="12">
        <f>B47*G47</f>
        <v/>
      </c>
    </row>
    <row r="48">
      <c r="A48" s="8" t="inlineStr">
        <is>
          <t>TB1</t>
        </is>
      </c>
      <c r="B48" s="8" t="n">
        <v>6</v>
      </c>
      <c r="C48" s="9" t="inlineStr">
        <is>
          <t>F2 female spade terminal, 0.250 inch, insulated crimp, 14-16 AWG</t>
        </is>
      </c>
      <c r="D48" s="8" t="inlineStr">
        <is>
          <t>TE 3-520408-2</t>
        </is>
      </c>
      <c r="E48" s="8" t="inlineStr">
        <is>
          <t>DigiKey</t>
        </is>
      </c>
      <c r="F48" s="10" t="inlineStr">
        <is>
          <t>https://www.digikey.com/en/products/detail/te-connectivity-amp-connectors/3-520408-2/14800982</t>
        </is>
      </c>
      <c r="G48" s="11" t="n">
        <v>0.59</v>
      </c>
      <c r="H48" s="8" t="inlineStr">
        <is>
          <t>listed</t>
        </is>
      </c>
      <c r="I48" s="9" t="inlineStr">
        <is>
          <t>Two on the battery, two on SW1, two spare.</t>
        </is>
      </c>
      <c r="J48" s="12">
        <f>B48*G48</f>
        <v/>
      </c>
    </row>
    <row r="49">
      <c r="A49" s="8" t="inlineStr">
        <is>
          <t>WR1</t>
        </is>
      </c>
      <c r="B49" s="8" t="n">
        <v>1</v>
      </c>
      <c r="C49" s="9" t="inlineStr">
        <is>
          <t>Silicone wire, 16 AWG, red and black, 25 ft each colour</t>
        </is>
      </c>
      <c r="D49" s="8" t="inlineStr">
        <is>
          <t>BNTECHGO 16 AWG 50 ft kit</t>
        </is>
      </c>
      <c r="E49" s="8" t="inlineStr">
        <is>
          <t>BNTECHGO</t>
        </is>
      </c>
      <c r="F49" s="10" t="inlineStr">
        <is>
          <t>https://bntechgo.com/bntechgo-16-gauge-silicone-wire-kit-ultra-flexible-50-ft-black-and-red-each-color-25-ft-high-temp-200-c-600v-16-awg-silicone-wire-252-strands-of-tinned-copper-wire-stranded-wire-stranded-wire-for-model-battery/</t>
        </is>
      </c>
      <c r="G49" s="11" t="n">
        <v>19.68</v>
      </c>
      <c r="H49" s="8" t="inlineStr">
        <is>
          <t>listed</t>
        </is>
      </c>
      <c r="I49" s="9" t="inlineStr">
        <is>
          <t>Battery, switch, fuse and regulator input runs. 22 A chassis rating.</t>
        </is>
      </c>
      <c r="J49" s="12">
        <f>B49*G49</f>
        <v/>
      </c>
    </row>
    <row r="50">
      <c r="A50" s="8" t="inlineStr">
        <is>
          <t>WR2</t>
        </is>
      </c>
      <c r="B50" s="8" t="n">
        <v>1</v>
      </c>
      <c r="C50" s="9" t="inlineStr">
        <is>
          <t>Silicone wire, 22 AWG, six colours, 30 ft each</t>
        </is>
      </c>
      <c r="D50" s="8" t="inlineStr">
        <is>
          <t>BNTECHGO 22 AWG 6 colour kit</t>
        </is>
      </c>
      <c r="E50" s="8" t="inlineStr">
        <is>
          <t>BNTECHGO</t>
        </is>
      </c>
      <c r="F50" s="10" t="inlineStr">
        <is>
          <t>https://bntechgo.com/bntechgo-22-gauge-silicone-wire-kit-ultra-flexible-6-colors-each-30-ft-high-temp-200-c-600v-22-awg-silicone-wire-60-strands-of-tinned-copper-wire-stranded-wire-for-model-battery/</t>
        </is>
      </c>
      <c r="G50" s="11" t="n">
        <v>19.68</v>
      </c>
      <c r="H50" s="8" t="inlineStr">
        <is>
          <t>listed</t>
        </is>
      </c>
      <c r="I50" s="9" t="inlineStr">
        <is>
          <t>Motor extensions, 5 V and 6 V branches, display and NeoPixel signals. 7 A chassis rating.</t>
        </is>
      </c>
      <c r="J50" s="12">
        <f>B50*G50</f>
        <v/>
      </c>
    </row>
    <row r="51">
      <c r="A51" s="8" t="inlineStr">
        <is>
          <t>J2-J9</t>
        </is>
      </c>
      <c r="B51" s="8" t="n">
        <v>8</v>
      </c>
      <c r="C51" s="9" t="inlineStr">
        <is>
          <t>JST-XH 2 pin cable matching pair, 2.5 mm pitch, 200 mm</t>
        </is>
      </c>
      <c r="D51" s="8" t="inlineStr">
        <is>
          <t>Adafruit 4872</t>
        </is>
      </c>
      <c r="E51" s="8" t="inlineStr">
        <is>
          <t>Adafruit</t>
        </is>
      </c>
      <c r="F51" s="10" t="inlineStr">
        <is>
          <t>https://www.adafruit.com/product/4872</t>
        </is>
      </c>
      <c r="G51" s="11" t="n">
        <v>0.95</v>
      </c>
      <c r="H51" s="8" t="inlineStr">
        <is>
          <t>listed</t>
        </is>
      </c>
      <c r="I51" s="9" t="inlineStr">
        <is>
          <t>Seven motor connections plus one spare. Male half at the driver, female half on the motor lead.</t>
        </is>
      </c>
      <c r="J51" s="12">
        <f>B51*G51</f>
        <v/>
      </c>
    </row>
    <row r="52">
      <c r="A52" s="8" t="inlineStr">
        <is>
          <t>J10</t>
        </is>
      </c>
      <c r="B52" s="8" t="n">
        <v>4</v>
      </c>
      <c r="C52" s="9" t="inlineStr">
        <is>
          <t>Anderson Powerpole 15-45 A housing (two red, two black)</t>
        </is>
      </c>
      <c r="D52" s="8" t="inlineStr">
        <is>
          <t>Anderson 1327-BK</t>
        </is>
      </c>
      <c r="E52" s="8" t="inlineStr">
        <is>
          <t>DigiKey</t>
        </is>
      </c>
      <c r="F52" s="10" t="inlineStr">
        <is>
          <t>https://www.digikey.com/en/products/detail/anderson-power-products-inc/1327-BK/10650475</t>
        </is>
      </c>
      <c r="G52" s="11" t="n">
        <v>0.64</v>
      </c>
      <c r="H52" s="8" t="inlineStr">
        <is>
          <t>listed</t>
        </is>
      </c>
      <c r="I52" s="9" t="inlineStr">
        <is>
          <t>One stacked pair on the battery lead and one on the harness side.</t>
        </is>
      </c>
      <c r="J52" s="12">
        <f>B52*G52</f>
        <v/>
      </c>
    </row>
    <row r="53">
      <c r="A53" s="8" t="inlineStr">
        <is>
          <t>J10C</t>
        </is>
      </c>
      <c r="B53" s="8" t="n">
        <v>4</v>
      </c>
      <c r="C53" s="9" t="inlineStr">
        <is>
          <t>Anderson Powerpole contact, 15 A, 16-20 AWG, silver</t>
        </is>
      </c>
      <c r="D53" s="8" t="inlineStr">
        <is>
          <t>Anderson 1332-BK</t>
        </is>
      </c>
      <c r="E53" s="8" t="inlineStr">
        <is>
          <t>DigiKey</t>
        </is>
      </c>
      <c r="F53" s="10" t="inlineStr">
        <is>
          <t>https://www.digikey.com/en/products/detail/anderson-power-products-inc/1332-BK/10650021</t>
        </is>
      </c>
      <c r="G53" s="11" t="n">
        <v>0.43</v>
      </c>
      <c r="H53" s="8" t="inlineStr">
        <is>
          <t>listed</t>
        </is>
      </c>
      <c r="I53" s="9" t="inlineStr">
        <is>
          <t>Crimped onto 16 AWG; one per housing.</t>
        </is>
      </c>
      <c r="J53" s="12">
        <f>B53*G53</f>
        <v/>
      </c>
    </row>
    <row r="54">
      <c r="A54" s="8" t="inlineStr">
        <is>
          <t>J11</t>
        </is>
      </c>
      <c r="B54" s="8" t="n">
        <v>1</v>
      </c>
      <c r="C54" s="9" t="inlineStr">
        <is>
          <t>USB A to USB C cable, 1 m - Pi to KB2040 power and serial</t>
        </is>
      </c>
      <c r="D54" s="8" t="inlineStr">
        <is>
          <t>Adafruit 4474</t>
        </is>
      </c>
      <c r="E54" s="8" t="inlineStr">
        <is>
          <t>Adafruit</t>
        </is>
      </c>
      <c r="F54" s="10" t="inlineStr">
        <is>
          <t>https://www.adafruit.com/product/4474</t>
        </is>
      </c>
      <c r="G54" s="11" t="n">
        <v>4.95</v>
      </c>
      <c r="H54" s="8" t="inlineStr">
        <is>
          <t>listed</t>
        </is>
      </c>
      <c r="I54" s="9" t="inlineStr">
        <is>
          <t>Carries the USB CDC link the Pi sees as /dev/ttyACM1 and powers the KB2040.</t>
        </is>
      </c>
      <c r="J54" s="12">
        <f>B54*G54</f>
        <v/>
      </c>
    </row>
    <row r="55">
      <c r="A55" s="8" t="inlineStr">
        <is>
          <t>J12</t>
        </is>
      </c>
      <c r="B55" s="8" t="n">
        <v>1</v>
      </c>
      <c r="C55" s="9" t="inlineStr">
        <is>
          <t>USB Type C plug breakout - 5 V feed into the Pi USB-C power input</t>
        </is>
      </c>
      <c r="D55" s="8" t="inlineStr">
        <is>
          <t>Adafruit 5978</t>
        </is>
      </c>
      <c r="E55" s="8" t="inlineStr">
        <is>
          <t>Adafruit</t>
        </is>
      </c>
      <c r="F55" s="10" t="inlineStr">
        <is>
          <t>https://www.adafruit.com/product/5978</t>
        </is>
      </c>
      <c r="G55" s="11" t="n">
        <v>2.95</v>
      </c>
      <c r="H55" s="8" t="inlineStr">
        <is>
          <t>listed</t>
        </is>
      </c>
      <c r="I55" s="9" t="inlineStr">
        <is>
          <t>Solder 18 AWG from U5 VOUT to VBUS and GND. The board's 5.1 k CC1 resistor is what makes the Pi accept the supply. Keep the run under 250 mm.</t>
        </is>
      </c>
      <c r="J55" s="12">
        <f>B55*G55</f>
        <v/>
      </c>
    </row>
    <row r="56">
      <c r="A56" s="8" t="inlineStr">
        <is>
          <t>J13A-J13B</t>
        </is>
      </c>
      <c r="B56" s="8" t="n">
        <v>2</v>
      </c>
      <c r="C56" s="9" t="inlineStr">
        <is>
          <t>Servo extension cable, 12 in (300 mm), 22 AWG - release servos to the tray (revision D)</t>
        </is>
      </c>
      <c r="D56" s="8" t="inlineStr">
        <is>
          <t>Pololu 2184</t>
        </is>
      </c>
      <c r="E56" s="8" t="inlineStr">
        <is>
          <t>Pololu</t>
        </is>
      </c>
      <c r="F56" s="10" t="inlineStr">
        <is>
          <t>https://www.pololu.com/product/2184</t>
        </is>
      </c>
      <c r="G56" s="11" t="n">
        <v>4.64</v>
      </c>
      <c r="H56" s="8" t="inlineStr">
        <is>
          <t>listed</t>
        </is>
      </c>
      <c r="I56" s="9" t="inlineStr">
        <is>
          <t>Male Futaba J to female JR. Adafruit 972 (30 cm) reads Out of stock on 2026-09-12.</t>
        </is>
      </c>
      <c r="J56" s="12">
        <f>B56*G56</f>
        <v/>
      </c>
    </row>
    <row r="57">
      <c r="A57" s="8" t="inlineStr">
        <is>
          <t>J14</t>
        </is>
      </c>
      <c r="B57" s="8" t="n">
        <v>1</v>
      </c>
      <c r="C57" s="9" t="inlineStr">
        <is>
          <t>STEMMA QT / Qwiic JST SH 4-pin to premium male headers cable, 150 mm - right lock switch to KB2040 GP12/GP13 (revision D)</t>
        </is>
      </c>
      <c r="D57" s="8" t="inlineStr">
        <is>
          <t>Adafruit 4209</t>
        </is>
      </c>
      <c r="E57" s="8" t="inlineStr">
        <is>
          <t>Adafruit</t>
        </is>
      </c>
      <c r="F57" s="10" t="inlineStr">
        <is>
          <t>https://www.adafruit.com/product/4209</t>
        </is>
      </c>
      <c r="G57" s="11" t="n">
        <v>0.95</v>
      </c>
      <c r="H57" s="8" t="inlineStr">
        <is>
          <t>listed</t>
        </is>
      </c>
      <c r="I57" s="9" t="inlineStr">
        <is>
          <t>Blue SDA = SW3 NO, yellow SCL = SW3 NC, black GND = SW3 COM; red 3V3 lead insulated and unused.</t>
        </is>
      </c>
      <c r="J57" s="12">
        <f>B57*G57</f>
        <v/>
      </c>
    </row>
    <row r="58">
      <c r="A58" s="8" t="inlineStr">
        <is>
          <t>R1</t>
        </is>
      </c>
      <c r="B58" s="8" t="n">
        <v>1</v>
      </c>
      <c r="C58" s="9" t="inlineStr">
        <is>
          <t>Through-hole resistors, 100 ohm 5% 1/4 W, pack of 25</t>
        </is>
      </c>
      <c r="D58" s="8" t="inlineStr">
        <is>
          <t>Adafruit 4293</t>
        </is>
      </c>
      <c r="E58" s="8" t="inlineStr">
        <is>
          <t>Adafruit</t>
        </is>
      </c>
      <c r="F58" s="10" t="inlineStr">
        <is>
          <t>https://www.adafruit.com/product/4293</t>
        </is>
      </c>
      <c r="G58" s="11" t="n">
        <v>0.75</v>
      </c>
      <c r="H58" s="8" t="inlineStr">
        <is>
          <t>listed</t>
        </is>
      </c>
      <c r="I58" s="9" t="inlineStr">
        <is>
          <t>One used: TFT backlight pin to 5 V inside the dome. Page reads Out of stock on 2026-09-12; any 100 ohm 1/4 W part works.</t>
        </is>
      </c>
      <c r="J58" s="12">
        <f>B58*G58</f>
        <v/>
      </c>
    </row>
    <row r="59">
      <c r="A59" s="8" t="inlineStr">
        <is>
          <t>R2</t>
        </is>
      </c>
      <c r="B59" s="8" t="n">
        <v>1</v>
      </c>
      <c r="C59" s="9" t="inlineStr">
        <is>
          <t>Through-hole resistors, 100 k ohm 5% 1/4 W, pack of 25</t>
        </is>
      </c>
      <c r="D59" s="8" t="inlineStr">
        <is>
          <t>Adafruit 2787</t>
        </is>
      </c>
      <c r="E59" s="8" t="inlineStr">
        <is>
          <t>Adafruit</t>
        </is>
      </c>
      <c r="F59" s="10" t="inlineStr">
        <is>
          <t>https://www.adafruit.com/product/2787</t>
        </is>
      </c>
      <c r="G59" s="11" t="n">
        <v>0.95</v>
      </c>
      <c r="H59" s="8" t="inlineStr">
        <is>
          <t>listed</t>
        </is>
      </c>
      <c r="I59" s="9" t="inlineStr">
        <is>
          <t>Two used: top leg of the Pi battery divider (R2, 12 V bus to the ADS1115 A0 node) and top leg of the KB2040 divider (R9, 12 V bus to KB2040 A1, revision D).</t>
        </is>
      </c>
      <c r="J59" s="12">
        <f>B59*G59</f>
        <v/>
      </c>
    </row>
    <row r="60">
      <c r="A60" s="8" t="inlineStr">
        <is>
          <t>R3</t>
        </is>
      </c>
      <c r="B60" s="8" t="n">
        <v>2</v>
      </c>
      <c r="C60" s="9" t="inlineStr">
        <is>
          <t>Through-hole resistor, 15 k ohm 5% 1/4 W</t>
        </is>
      </c>
      <c r="D60" s="8" t="inlineStr">
        <is>
          <t>Stackpole CF14JT15K0</t>
        </is>
      </c>
      <c r="E60" s="8" t="inlineStr">
        <is>
          <t>DigiKey</t>
        </is>
      </c>
      <c r="F60" s="10" t="inlineStr">
        <is>
          <t>https://www.digikey.com/en/products/detail/stackpole-electronics-inc/CF14JT15K0/1741298</t>
        </is>
      </c>
      <c r="G60" s="11" t="n">
        <v>0.1</v>
      </c>
      <c r="H60" s="8" t="inlineStr">
        <is>
          <t>listed</t>
        </is>
      </c>
      <c r="I60" s="9" t="inlineStr">
        <is>
          <t>Two used: bottom leg of the Pi battery divider (R3, ADS1115 A0 node to ground) and bottom leg of the KB2040 divider (R10, A1 node to the KB2040 GND pad, revision D). DigiKey price read 2026-09-12.</t>
        </is>
      </c>
      <c r="J60" s="12">
        <f>B60*G60</f>
        <v/>
      </c>
    </row>
    <row r="61">
      <c r="A61" s="8" t="inlineStr">
        <is>
          <t>R4</t>
        </is>
      </c>
      <c r="B61" s="8" t="n">
        <v>1</v>
      </c>
      <c r="C61" s="9" t="inlineStr">
        <is>
          <t>Through-hole resistors, 10 k ohm 5% 1/4 W, pack of 25</t>
        </is>
      </c>
      <c r="D61" s="8" t="inlineStr">
        <is>
          <t>Adafruit 2784</t>
        </is>
      </c>
      <c r="E61" s="8" t="inlineStr">
        <is>
          <t>Adafruit</t>
        </is>
      </c>
      <c r="F61" s="10" t="inlineStr">
        <is>
          <t>https://www.adafruit.com/product/2784</t>
        </is>
      </c>
      <c r="G61" s="11" t="n">
        <v>0.75</v>
      </c>
      <c r="H61" s="8" t="inlineStr">
        <is>
          <t>listed</t>
        </is>
      </c>
      <c r="I61" s="9" t="inlineStr">
        <is>
          <t>Three used: two sum the Pi left and right audio into the PAM8302 A+, one pulls up the dome index sensor. Page reads Out of stock on 2026-09-12.</t>
        </is>
      </c>
      <c r="J61" s="12">
        <f>B61*G61</f>
        <v/>
      </c>
    </row>
    <row r="62">
      <c r="A62" s="8" t="inlineStr">
        <is>
          <t>R5</t>
        </is>
      </c>
      <c r="B62" s="8" t="n">
        <v>1</v>
      </c>
      <c r="C62" s="9" t="inlineStr">
        <is>
          <t>Through-hole resistor, 71.5 k ohm 1% 1/4 W metal film - DRV8871 current limit (revision D)</t>
        </is>
      </c>
      <c r="D62" s="8" t="inlineStr">
        <is>
          <t>Stackpole RNF14FTD71K5</t>
        </is>
      </c>
      <c r="E62" s="8" t="inlineStr">
        <is>
          <t>DigiKey</t>
        </is>
      </c>
      <c r="F62" s="10" t="inlineStr">
        <is>
          <t>https://www.digikey.com/en/products/detail/stackpole-electronics-inc/RNF14FTD71K5/738-RNF14FTD71K5CT-ND</t>
        </is>
      </c>
      <c r="G62" s="11" t="n">
        <v>0.1</v>
      </c>
      <c r="H62" s="8" t="inlineStr">
        <is>
          <t>listed</t>
        </is>
      </c>
      <c r="I62" s="9" t="inlineStr">
        <is>
          <t>Replaces the factory 30 k ILIM resistor on U10; never fit it in parallel with the original. I_TRIP = 64 / 71.5 = 0.895 A.</t>
        </is>
      </c>
      <c r="J62" s="12">
        <f>B62*G62</f>
        <v/>
      </c>
    </row>
    <row r="63">
      <c r="A63" s="8" t="inlineStr">
        <is>
          <t>R6A-R6D</t>
        </is>
      </c>
      <c r="B63" s="8" t="n">
        <v>4</v>
      </c>
      <c r="C63" s="9" t="inlineStr">
        <is>
          <t>Through-hole resistor, 3.3 k ohm 5% 1/4 W - lock switch pull-ups (revision D)</t>
        </is>
      </c>
      <c r="D63" s="8" t="inlineStr">
        <is>
          <t>Stackpole CF14JT3K30</t>
        </is>
      </c>
      <c r="E63" s="8" t="inlineStr">
        <is>
          <t>DigiKey</t>
        </is>
      </c>
      <c r="F63" s="10" t="inlineStr">
        <is>
          <t>https://www.digikey.com/en/products/detail/stackpole-electronics-inc/CF14JT3K30/1741376</t>
        </is>
      </c>
      <c r="G63" s="11" t="n">
        <v>0.1</v>
      </c>
      <c r="H63" s="8" t="inlineStr">
        <is>
          <t>listed</t>
        </is>
      </c>
      <c r="I63" s="9" t="inlineStr">
        <is>
          <t>One per NO and NC input, to KB2040 3V3: 1 mA through a closed contact.</t>
        </is>
      </c>
      <c r="J63" s="12">
        <f>B63*G63</f>
        <v/>
      </c>
    </row>
    <row r="64">
      <c r="A64" s="8" t="inlineStr">
        <is>
          <t>R7</t>
        </is>
      </c>
      <c r="B64" s="8" t="n">
        <v>1</v>
      </c>
      <c r="C64" s="9" t="inlineStr">
        <is>
          <t>Through-hole resistor, 2.2 k ohm 5% 1/4 W - actuator pot top resistor (revision D)</t>
        </is>
      </c>
      <c r="D64" s="8" t="inlineStr">
        <is>
          <t>Stackpole CF14JT2K20</t>
        </is>
      </c>
      <c r="E64" s="8" t="inlineStr">
        <is>
          <t>DigiKey</t>
        </is>
      </c>
      <c r="F64" s="10" t="inlineStr">
        <is>
          <t>https://www.digikey.com/en/products/detail/stackpole-electronics-inc/CF14JT2K20/1741321</t>
        </is>
      </c>
      <c r="G64" s="11" t="n">
        <v>0.1</v>
      </c>
      <c r="H64" s="8" t="inlineStr">
        <is>
          <t>listed</t>
        </is>
      </c>
      <c r="I64" s="9" t="inlineStr">
        <is>
          <t>KB2040 3V3 to the pot + lead: full stroke stays under 2912 mV at +50 % pot tolerance, and an open pot - lead reads high.</t>
        </is>
      </c>
      <c r="J64" s="12">
        <f>B64*G64</f>
        <v/>
      </c>
    </row>
    <row r="65">
      <c r="A65" s="8" t="inlineStr">
        <is>
          <t>R8</t>
        </is>
      </c>
      <c r="B65" s="8" t="n">
        <v>1</v>
      </c>
      <c r="C65" s="9" t="inlineStr">
        <is>
          <t>Through-hole resistor, 470 k ohm 5% 1/4 W - actuator wiper pull-down (revision D)</t>
        </is>
      </c>
      <c r="D65" s="8" t="inlineStr">
        <is>
          <t>Stackpole CF14JT470K</t>
        </is>
      </c>
      <c r="E65" s="8" t="inlineStr">
        <is>
          <t>DigiKey</t>
        </is>
      </c>
      <c r="F65" s="10" t="inlineStr">
        <is>
          <t>https://www.digikey.com/en/products/detail/stackpole-electronics-inc/CF14JT470K/1741442</t>
        </is>
      </c>
      <c r="G65" s="11" t="n">
        <v>0.1</v>
      </c>
      <c r="H65" s="8" t="inlineStr">
        <is>
          <t>listed</t>
        </is>
      </c>
      <c r="I65" s="9" t="inlineStr">
        <is>
          <t>KB2040 A0 to the GND pad: an open wiper reads near 0 mV and latches FEEDBACK.</t>
        </is>
      </c>
      <c r="J65" s="12">
        <f>B65*G65</f>
        <v/>
      </c>
    </row>
    <row r="66">
      <c r="A66" s="8" t="inlineStr">
        <is>
          <t>SD1</t>
        </is>
      </c>
      <c r="B66" s="8" t="n">
        <v>1</v>
      </c>
      <c r="C66" s="9" t="inlineStr">
        <is>
          <t>microSD card, 32 GB, A2 class - Raspberry Pi OS</t>
        </is>
      </c>
      <c r="D66" s="8" t="inlineStr">
        <is>
          <t>Official Raspberry Pi A2 32 GB (Adafruit 6010)</t>
        </is>
      </c>
      <c r="E66" s="8" t="inlineStr">
        <is>
          <t>Adafruit</t>
        </is>
      </c>
      <c r="F66" s="10" t="inlineStr">
        <is>
          <t>https://www.adafruit.com/product/6010</t>
        </is>
      </c>
      <c r="G66" s="11" t="n">
        <v>13.69</v>
      </c>
      <c r="H66" s="8" t="inlineStr">
        <is>
          <t>allowance</t>
        </is>
      </c>
      <c r="I66" s="9" t="inlineStr">
        <is>
          <t>Allowance: the Adafruit listing reads No longer stocked on 2026-09-12. Any A2 class 32 GB card works; the price is the Adafruit list price.</t>
        </is>
      </c>
      <c r="J66" s="12">
        <f>B66*G66</f>
        <v/>
      </c>
    </row>
    <row r="67">
      <c r="A67" s="8" t="inlineStr">
        <is>
          <t>SQ1</t>
        </is>
      </c>
      <c r="B67" s="8" t="n">
        <v>1</v>
      </c>
      <c r="C67" s="9" t="inlineStr">
        <is>
          <t>Hall effect switch US5881LUA - optional dome index (home) sensor</t>
        </is>
      </c>
      <c r="D67" s="8" t="inlineStr">
        <is>
          <t>Adafruit 158</t>
        </is>
      </c>
      <c r="E67" s="8" t="inlineStr">
        <is>
          <t>Adafruit</t>
        </is>
      </c>
      <c r="F67" s="10" t="inlineStr">
        <is>
          <t>https://www.adafruit.com/product/158</t>
        </is>
      </c>
      <c r="G67" s="11" t="n">
        <v>2</v>
      </c>
      <c r="H67" s="8" t="inlineStr">
        <is>
          <t>listed</t>
        </is>
      </c>
      <c r="I67" s="9" t="inlineStr">
        <is>
          <t>Optional. Mounts on the body top plate facing a magnet on the dome plate; open drain to KB2040 A3, which has its internal pull-up enabled in firmware. Fit the R4 10 k pull-up as well if the run is long.</t>
        </is>
      </c>
      <c r="J67" s="12">
        <f>B67*G67</f>
        <v/>
      </c>
    </row>
    <row r="68">
      <c r="C68" s="5" t="inlineStr">
        <is>
          <t>Sheet total</t>
        </is>
      </c>
      <c r="J68" s="6">
        <f>SUM(J2:J67)</f>
        <v/>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1" sqref="A1"/>
    </sheetView>
  </sheetViews>
  <sheetFormatPr baseColWidth="8" defaultRowHeight="15"/>
  <cols>
    <col width="8" customWidth="1" min="1" max="1"/>
    <col width="6" customWidth="1" min="2" max="2"/>
    <col width="34" customWidth="1" min="3" max="3"/>
    <col width="20" customWidth="1" min="4" max="4"/>
    <col width="14" customWidth="1" min="5" max="5"/>
    <col width="46" customWidth="1" min="6" max="6"/>
    <col width="10" customWidth="1" min="7" max="7"/>
    <col width="12" customWidth="1" min="8" max="8"/>
    <col width="52" customWidth="1" min="9" max="9"/>
    <col width="11" customWidth="1" min="10" max="10"/>
  </cols>
  <sheetData>
    <row r="1" ht="30" customHeight="1">
      <c r="A1" s="7" t="inlineStr">
        <is>
          <t>Ref</t>
        </is>
      </c>
      <c r="B1" s="7" t="inlineStr">
        <is>
          <t>Qty</t>
        </is>
      </c>
      <c r="C1" s="7" t="inlineStr">
        <is>
          <t>Item</t>
        </is>
      </c>
      <c r="D1" s="7" t="inlineStr">
        <is>
          <t>Part number</t>
        </is>
      </c>
      <c r="E1" s="7" t="inlineStr">
        <is>
          <t>Supplier</t>
        </is>
      </c>
      <c r="F1" s="7" t="inlineStr">
        <is>
          <t>Source URL</t>
        </is>
      </c>
      <c r="G1" s="7" t="inlineStr">
        <is>
          <t>Unit USD</t>
        </is>
      </c>
      <c r="H1" s="7" t="inlineStr">
        <is>
          <t>Price basis</t>
        </is>
      </c>
      <c r="I1" s="7" t="inlineStr">
        <is>
          <t>Notes / use</t>
        </is>
      </c>
      <c r="J1" s="7" t="inlineStr">
        <is>
          <t>Line USD</t>
        </is>
      </c>
    </row>
    <row r="2">
      <c r="A2" s="8" t="inlineStr">
        <is>
          <t>H01</t>
        </is>
      </c>
      <c r="B2" s="8" t="n">
        <v>1</v>
      </c>
      <c r="C2" s="9" t="inlineStr">
        <is>
          <t>Lazy susan ring bearing, 9 inch round steel, 228.6 mm OD, 114.3 mm centre hole</t>
        </is>
      </c>
      <c r="D2" s="8" t="inlineStr">
        <is>
          <t>Triangle 9C (WW Hardware TR09C)</t>
        </is>
      </c>
      <c r="E2" s="8" t="inlineStr">
        <is>
          <t>WW Hardware</t>
        </is>
      </c>
      <c r="F2" s="10" t="inlineStr">
        <is>
          <t>https://www.wwhardware.com/triangle-flat-lazy-susan-bearing-9-round-tr09c</t>
        </is>
      </c>
      <c r="G2" s="11" t="n">
        <v>6.79</v>
      </c>
      <c r="H2" s="8" t="inlineStr">
        <is>
          <t>listed</t>
        </is>
      </c>
      <c r="I2" s="9" t="inlineStr">
        <is>
          <t>Dome bearing between the body top plate and the dome plate. 750 lb rating; four M5 screws per race through the access holes.</t>
        </is>
      </c>
      <c r="J2" s="12">
        <f>B2*G2</f>
        <v/>
      </c>
    </row>
    <row r="3">
      <c r="A3" s="8" t="inlineStr">
        <is>
          <t>H02</t>
        </is>
      </c>
      <c r="B3" s="8" t="n">
        <v>1</v>
      </c>
      <c r="C3" s="9" t="inlineStr">
        <is>
          <t>Ball bearings 6001-2RS, 12 x 28 x 8 mm, pack of 10</t>
        </is>
      </c>
      <c r="D3" s="8" t="inlineStr">
        <is>
          <t>PGN 6001-2RS 10 pack</t>
        </is>
      </c>
      <c r="E3" s="8" t="inlineStr">
        <is>
          <t>Amazon</t>
        </is>
      </c>
      <c r="F3" s="10" t="inlineStr">
        <is>
          <t>https://www.amazon.com/dp/B07GVQ8G23</t>
        </is>
      </c>
      <c r="G3" s="11" t="n">
        <v>11.45</v>
      </c>
      <c r="H3" s="8" t="inlineStr">
        <is>
          <t>listed</t>
        </is>
      </c>
      <c r="I3" s="9" t="inlineStr">
        <is>
          <t>Six used: two per shoulder pivot (four) and two in the centre-foot caster (params.scad caster_bearing_od 28, caster_bearing_t 8). Four spare. Revision D: the two centre-foot caster bearings are unchanged.</t>
        </is>
      </c>
      <c r="J3" s="12">
        <f>B3*G3</f>
        <v/>
      </c>
    </row>
    <row r="4">
      <c r="A4" s="8" t="inlineStr">
        <is>
          <t>H03</t>
        </is>
      </c>
      <c r="B4" s="8" t="n">
        <v>2</v>
      </c>
      <c r="C4" s="9" t="inlineStr">
        <is>
          <t>Hex bolt M12-1.75 x 130 mm, class 8.8 zinc - shoulder pivot</t>
        </is>
      </c>
      <c r="D4" s="8" t="inlineStr">
        <is>
          <t>Bolt Depot 6272</t>
        </is>
      </c>
      <c r="E4" s="8" t="inlineStr">
        <is>
          <t>Bolt Depot</t>
        </is>
      </c>
      <c r="F4" s="10" t="inlineStr">
        <is>
          <t>https://www.boltdepot.com/Metric_hex_bolts_Zinc_plated_class_8.8_steel_12mm_x_1.75mm.aspx</t>
        </is>
      </c>
      <c r="G4" s="11" t="n">
        <v>2.83</v>
      </c>
      <c r="H4" s="8" t="inlineStr">
        <is>
          <t>listed</t>
        </is>
      </c>
      <c r="I4" s="9" t="inlineStr">
        <is>
          <t>One per shoulder, through the leg hub, the bushings and the 30 mm body boss. Use a steel crush sleeve so the printed boss is never clamped directly.</t>
        </is>
      </c>
      <c r="J4" s="12">
        <f>B4*G4</f>
        <v/>
      </c>
    </row>
    <row r="5">
      <c r="A5" s="8" t="inlineStr">
        <is>
          <t>H04</t>
        </is>
      </c>
      <c r="B5" s="8" t="n">
        <v>1</v>
      </c>
      <c r="C5" s="9" t="inlineStr">
        <is>
          <t>Nylon-insert lock nuts M12-1.75, DIN 985, stainless, pack of 20</t>
        </is>
      </c>
      <c r="D5" s="8" t="inlineStr">
        <is>
          <t>BNUOK M12 nyloc 20 pack</t>
        </is>
      </c>
      <c r="E5" s="8" t="inlineStr">
        <is>
          <t>Amazon</t>
        </is>
      </c>
      <c r="F5" s="10" t="inlineStr">
        <is>
          <t>https://www.amazon.com/dp/B0F8GZP628</t>
        </is>
      </c>
      <c r="G5" s="11" t="n">
        <v>8.99</v>
      </c>
      <c r="H5" s="8" t="inlineStr">
        <is>
          <t>listed</t>
        </is>
      </c>
      <c r="I5" s="9" t="inlineStr">
        <is>
          <t>Two used on the shoulder bolts; the rest are spares and centre-leg hardware.</t>
        </is>
      </c>
      <c r="J5" s="12">
        <f>B5*G5</f>
        <v/>
      </c>
    </row>
    <row r="6">
      <c r="A6" s="8" t="inlineStr">
        <is>
          <t>H05</t>
        </is>
      </c>
      <c r="B6" s="8" t="n">
        <v>8</v>
      </c>
      <c r="C6" s="9" t="inlineStr">
        <is>
          <t>Fender washer M12, 12 x 37 mm, zinc</t>
        </is>
      </c>
      <c r="D6" s="8" t="inlineStr">
        <is>
          <t>Bolt Depot 17834</t>
        </is>
      </c>
      <c r="E6" s="8" t="inlineStr">
        <is>
          <t>Bolt Depot</t>
        </is>
      </c>
      <c r="F6" s="10" t="inlineStr">
        <is>
          <t>https://boltdepot.com/Product-List?Units=Metric&amp;Category=Washers&amp;Subcategory=Fender_washers&amp;F_Size=12mm&amp;Material=Steel&amp;Plating=Zinc</t>
        </is>
      </c>
      <c r="G6" s="11" t="n">
        <v>0.5600000000000001</v>
      </c>
      <c r="H6" s="8" t="inlineStr">
        <is>
          <t>listed</t>
        </is>
      </c>
      <c r="I6" s="9" t="inlineStr">
        <is>
          <t>Large washers spread the shoulder clamp load over the printed faces; loads.md asks for about 40 mm diameter, so 37 mm is the closest stock size.</t>
        </is>
      </c>
      <c r="J6" s="12">
        <f>B6*G6</f>
        <v/>
      </c>
    </row>
    <row r="7">
      <c r="A7" s="8" t="inlineStr">
        <is>
          <t>H06</t>
        </is>
      </c>
      <c r="B7" s="8" t="n">
        <v>8</v>
      </c>
      <c r="C7" s="9" t="inlineStr">
        <is>
          <t>Flat washer M12, zinc</t>
        </is>
      </c>
      <c r="D7" s="8" t="inlineStr">
        <is>
          <t>Bolt Depot 4531</t>
        </is>
      </c>
      <c r="E7" s="8" t="inlineStr">
        <is>
          <t>Bolt Depot</t>
        </is>
      </c>
      <c r="F7" s="10" t="inlineStr">
        <is>
          <t>https://boltdepot.com/Product-List?Units=Metric&amp;Category=Washers&amp;Subcategory=Flat_washers&amp;F_Size=12mm&amp;Material=Steel&amp;Plating=Zinc</t>
        </is>
      </c>
      <c r="G7" s="11" t="n">
        <v>0.08</v>
      </c>
      <c r="H7" s="8" t="inlineStr">
        <is>
          <t>listed</t>
        </is>
      </c>
      <c r="I7" s="9" t="inlineStr">
        <is>
          <t>Under the nyloc and against the bearing inner races.</t>
        </is>
      </c>
      <c r="J7" s="12">
        <f>B7*G7</f>
        <v/>
      </c>
    </row>
    <row r="8">
      <c r="A8" s="8" t="inlineStr">
        <is>
          <t>H07</t>
        </is>
      </c>
      <c r="B8" s="8" t="n">
        <v>2</v>
      </c>
      <c r="C8" s="9" t="inlineStr">
        <is>
          <t>Flanged bronze bushing, 12 mm bore x 16 mm OD x 20 mm, pack of 2</t>
        </is>
      </c>
      <c r="D8" s="8" t="inlineStr">
        <is>
          <t>HARFINGTON flanged bushing</t>
        </is>
      </c>
      <c r="E8" s="8" t="inlineStr">
        <is>
          <t>Amazon</t>
        </is>
      </c>
      <c r="F8" s="10" t="inlineStr">
        <is>
          <t>https://www.amazon.com/dp/B0CGDV5C3F</t>
        </is>
      </c>
      <c r="G8" s="11" t="n">
        <v>12.99</v>
      </c>
      <c r="H8" s="8" t="inlineStr">
        <is>
          <t>listed</t>
        </is>
      </c>
      <c r="I8" s="9" t="inlineStr">
        <is>
          <t>Four bushings, two per shoulder, as the low-friction sleeve between the leg hub and the pivot bolt.</t>
        </is>
      </c>
      <c r="J8" s="12">
        <f>B8*G8</f>
        <v/>
      </c>
    </row>
    <row r="9">
      <c r="A9" s="8" t="inlineStr">
        <is>
          <t>H09</t>
        </is>
      </c>
      <c r="B9" s="8" t="n">
        <v>4</v>
      </c>
      <c r="C9" s="9" t="inlineStr">
        <is>
          <t>Threaded rod M8 x 1.25, 1 m, zinc steel</t>
        </is>
      </c>
      <c r="D9" s="8" t="inlineStr">
        <is>
          <t>Bolt Depot 23774</t>
        </is>
      </c>
      <c r="E9" s="8" t="inlineStr">
        <is>
          <t>Bolt Depot</t>
        </is>
      </c>
      <c r="F9" s="10" t="inlineStr">
        <is>
          <t>https://boltdepot.com/Threaded_rod_Zinc_plated_steel_8mm_x_1.25mm</t>
        </is>
      </c>
      <c r="G9" s="11" t="n">
        <v>11.25</v>
      </c>
      <c r="H9" s="8" t="inlineStr">
        <is>
          <t>listed</t>
        </is>
      </c>
      <c r="I9" s="9" t="inlineStr">
        <is>
          <t>Cut plan: two rods give the four body rods at 385 mm each (2 x 385 = 770 mm, 230 mm offcut); two rods give the four leg rods at 425 mm each (2 x 425 = 850 mm, 150 mm offcut). Deburr and chamfer every cut end.</t>
        </is>
      </c>
      <c r="J9" s="12">
        <f>B9*G9</f>
        <v/>
      </c>
    </row>
    <row r="10">
      <c r="A10" s="8" t="inlineStr">
        <is>
          <t>H10</t>
        </is>
      </c>
      <c r="B10" s="8" t="n">
        <v>40</v>
      </c>
      <c r="C10" s="9" t="inlineStr">
        <is>
          <t>Hex nut M8-1.25, class 8.8 zinc</t>
        </is>
      </c>
      <c r="D10" s="8" t="inlineStr">
        <is>
          <t>Bolt Depot 4788</t>
        </is>
      </c>
      <c r="E10" s="8" t="inlineStr">
        <is>
          <t>Bolt Depot</t>
        </is>
      </c>
      <c r="F10" s="10" t="inlineStr">
        <is>
          <t>https://boltdepot.com/Product-List?Units=Metric&amp;Category=Nuts&amp;Subcategory=Hex_nuts&amp;F_Diameter=8mm&amp;F_Thread_pitch=1.25mm&amp;Material=Steel&amp;Plating=Zinc&amp;Grade=Class_8.8</t>
        </is>
      </c>
      <c r="G10" s="11" t="n">
        <v>0.06</v>
      </c>
      <c r="H10" s="8" t="inlineStr">
        <is>
          <t>listed</t>
        </is>
      </c>
      <c r="I10" s="9" t="inlineStr">
        <is>
          <t>Two per rod end (jam pairs) on eight rods plus the centre-leg flange bolts. $4.84 per 100 at Bolt Depot. Revision D: the four centre-leg flange nuts are no longer used; two M8 nuts are captive in leg_center for the pitch-hinge bolts (H36).</t>
        </is>
      </c>
      <c r="J10" s="12">
        <f>B10*G10</f>
        <v/>
      </c>
    </row>
    <row r="11">
      <c r="A11" s="8" t="inlineStr">
        <is>
          <t>H11</t>
        </is>
      </c>
      <c r="B11" s="8" t="n">
        <v>1</v>
      </c>
      <c r="C11" s="9" t="inlineStr">
        <is>
          <t>Nylon-insert lock nuts M8-1.25, pack of 50</t>
        </is>
      </c>
      <c r="D11" s="8" t="inlineStr">
        <is>
          <t>Yinpecly M8 nyloc 50 pack</t>
        </is>
      </c>
      <c r="E11" s="8" t="inlineStr">
        <is>
          <t>Amazon</t>
        </is>
      </c>
      <c r="F11" s="10" t="inlineStr">
        <is>
          <t>https://www.amazon.com/dp/B0F1YGKBSL</t>
        </is>
      </c>
      <c r="G11" s="11" t="n">
        <v>6.99</v>
      </c>
      <c r="H11" s="8" t="inlineStr">
        <is>
          <t>listed</t>
        </is>
      </c>
      <c r="I11" s="9" t="inlineStr">
        <is>
          <t>Final nut on every M8 rod end, the four centre-leg flange bolts and the two ankle bolts per outer foot.</t>
        </is>
      </c>
      <c r="J11" s="12">
        <f>B11*G11</f>
        <v/>
      </c>
    </row>
    <row r="12">
      <c r="A12" s="8" t="inlineStr">
        <is>
          <t>H12</t>
        </is>
      </c>
      <c r="B12" s="8" t="n">
        <v>40</v>
      </c>
      <c r="C12" s="9" t="inlineStr">
        <is>
          <t>Flat washer M8, zinc</t>
        </is>
      </c>
      <c r="D12" s="8" t="inlineStr">
        <is>
          <t>Bolt Depot 4529</t>
        </is>
      </c>
      <c r="E12" s="8" t="inlineStr">
        <is>
          <t>Bolt Depot</t>
        </is>
      </c>
      <c r="F12" s="10" t="inlineStr">
        <is>
          <t>https://boltdepot.com/Product-List?Units=Metric&amp;Category=Washers&amp;Subcategory=Flat_washers&amp;F_Size=8mm&amp;Material=Steel&amp;Plating=Zinc</t>
        </is>
      </c>
      <c r="G12" s="11" t="n">
        <v>0.05</v>
      </c>
      <c r="H12" s="8" t="inlineStr">
        <is>
          <t>listed</t>
        </is>
      </c>
      <c r="I12" s="9" t="inlineStr">
        <is>
          <t>Under every M8 nut that does not get a fender washer. $2.33 per 100. Revision D: two under the pitch-hinge bolt heads (H36); the four centre-leg flange washers are no longer used.</t>
        </is>
      </c>
      <c r="J12" s="12">
        <f>B12*G12</f>
        <v/>
      </c>
    </row>
    <row r="13">
      <c r="A13" s="8" t="inlineStr">
        <is>
          <t>H13</t>
        </is>
      </c>
      <c r="B13" s="8" t="n">
        <v>16</v>
      </c>
      <c r="C13" s="9" t="inlineStr">
        <is>
          <t>Fender washer M8, 8 x 24 mm, zinc</t>
        </is>
      </c>
      <c r="D13" s="8" t="inlineStr">
        <is>
          <t>Bolt Depot 17832</t>
        </is>
      </c>
      <c r="E13" s="8" t="inlineStr">
        <is>
          <t>Bolt Depot</t>
        </is>
      </c>
      <c r="F13" s="10" t="inlineStr">
        <is>
          <t>https://boltdepot.com/Product-List?Units=Metric&amp;Category=Washers&amp;Subcategory=Fender_washers&amp;F_Size=8mm&amp;Material=Steel&amp;Plating=Zinc</t>
        </is>
      </c>
      <c r="G13" s="11" t="n">
        <v>0.28</v>
      </c>
      <c r="H13" s="8" t="inlineStr">
        <is>
          <t>listed</t>
        </is>
      </c>
      <c r="I13" s="9" t="inlineStr">
        <is>
          <t>One at each end of the eight rods, so the 1 kN preload in loads.md sits on about 5 MPa of printed face.</t>
        </is>
      </c>
      <c r="J13" s="12">
        <f>B13*G13</f>
        <v/>
      </c>
    </row>
    <row r="14">
      <c r="A14" s="8" t="inlineStr">
        <is>
          <t>H14</t>
        </is>
      </c>
      <c r="B14" s="8" t="n">
        <v>12</v>
      </c>
      <c r="C14" s="9" t="inlineStr">
        <is>
          <t>Socket cap screw M5 x 0.8 x 12 mm, stainless 18-8</t>
        </is>
      </c>
      <c r="D14" s="8" t="inlineStr">
        <is>
          <t>Bolt Depot metric socket cap 5 mm x 0.8 mm x 12 mm</t>
        </is>
      </c>
      <c r="E14" s="8" t="inlineStr">
        <is>
          <t>Bolt Depot</t>
        </is>
      </c>
      <c r="F14" s="10" t="inlineStr">
        <is>
          <t>https://boltdepot.com/Metric_socket_cap_Stainless_steel_18-8_(A-2)_5mm_x_0.8mm</t>
        </is>
      </c>
      <c r="G14" s="11" t="n">
        <v>0.3</v>
      </c>
      <c r="H14" s="8" t="inlineStr">
        <is>
          <t>allowance</t>
        </is>
      </c>
      <c r="I14" s="9" t="inlineStr">
        <is>
          <t>Eight used: four into M5 heat-set inserts in the body top plate and four into the dome plate, through the lazy-susan access holes. Bolt Depot prices load by script and were not readable on 2026-09-12.</t>
        </is>
      </c>
      <c r="J14" s="12">
        <f>B14*G14</f>
        <v/>
      </c>
    </row>
    <row r="15">
      <c r="A15" s="8" t="inlineStr">
        <is>
          <t>H15</t>
        </is>
      </c>
      <c r="B15" s="8" t="n">
        <v>1</v>
      </c>
      <c r="C15" s="9" t="inlineStr">
        <is>
          <t>Heat-set inserts M5 x 9.5 mm, brass, pack of 50 (ruthex RX-M5x9.5)</t>
        </is>
      </c>
      <c r="D15" s="8" t="inlineStr">
        <is>
          <t>ruthex RX-M5x9.5</t>
        </is>
      </c>
      <c r="E15" s="8" t="inlineStr">
        <is>
          <t>Amazon</t>
        </is>
      </c>
      <c r="F15" s="10" t="inlineStr">
        <is>
          <t>https://www.amazon.com/dp/B07YSVXWS8</t>
        </is>
      </c>
      <c r="G15" s="11" t="n">
        <v>9.99</v>
      </c>
      <c r="H15" s="8" t="inlineStr">
        <is>
          <t>listed</t>
        </is>
      </c>
      <c r="I15" s="9" t="inlineStr">
        <is>
          <t>Eight for the lazy susan, two for the head-drive tensioner. CAD pocket 6.63 mm diameter x 10.0 mm deep.</t>
        </is>
      </c>
      <c r="J15" s="12">
        <f>B15*G15</f>
        <v/>
      </c>
    </row>
    <row r="16">
      <c r="A16" s="8" t="inlineStr">
        <is>
          <t>H16</t>
        </is>
      </c>
      <c r="B16" s="8" t="n">
        <v>4</v>
      </c>
      <c r="C16" s="9" t="inlineStr">
        <is>
          <t>Socket cap screw M5 x 0.8 x 40 mm, stainless - head-drive tensioner</t>
        </is>
      </c>
      <c r="D16" s="8" t="inlineStr">
        <is>
          <t>uxcell M5 x 40 socket cap, 10 pack</t>
        </is>
      </c>
      <c r="E16" s="8" t="inlineStr">
        <is>
          <t>Amazon</t>
        </is>
      </c>
      <c r="F16" s="10" t="inlineStr">
        <is>
          <t>https://www.amazon.com/dp/B0DY4HF7N8</t>
        </is>
      </c>
      <c r="G16" s="11" t="n">
        <v>0.4</v>
      </c>
      <c r="H16" s="8" t="inlineStr">
        <is>
          <t>allowance</t>
        </is>
      </c>
      <c r="I16" s="9" t="inlineStr">
        <is>
          <t>Two used on the tensioner, two spare. Listed at $3.99 per 10 in a search result; the page itself was not fetched, so the price is an allowance.</t>
        </is>
      </c>
      <c r="J16" s="12">
        <f>B16*G16</f>
        <v/>
      </c>
    </row>
    <row r="17">
      <c r="A17" s="8" t="inlineStr">
        <is>
          <t>H17</t>
        </is>
      </c>
      <c r="B17" s="8" t="n">
        <v>1</v>
      </c>
      <c r="C17" s="9" t="inlineStr">
        <is>
          <t>Knurled thumb nuts M5-0.8, 304 stainless, pack of 10</t>
        </is>
      </c>
      <c r="D17" s="8" t="inlineStr">
        <is>
          <t>uxcell M5 thumb nut 10 pack</t>
        </is>
      </c>
      <c r="E17" s="8" t="inlineStr">
        <is>
          <t>Amazon</t>
        </is>
      </c>
      <c r="F17" s="10" t="inlineStr">
        <is>
          <t>https://www.amazon.com/dp/B0D7PWCDWK</t>
        </is>
      </c>
      <c r="G17" s="11" t="n">
        <v>9.390000000000001</v>
      </c>
      <c r="H17" s="8" t="inlineStr">
        <is>
          <t>listed</t>
        </is>
      </c>
      <c r="I17" s="9" t="inlineStr">
        <is>
          <t>Two used: tool-free tension stop on the head-drive adjuster screws.</t>
        </is>
      </c>
      <c r="J17" s="12">
        <f>B17*G17</f>
        <v/>
      </c>
    </row>
    <row r="18">
      <c r="A18" s="8" t="inlineStr">
        <is>
          <t>H18</t>
        </is>
      </c>
      <c r="B18" s="8" t="n">
        <v>1</v>
      </c>
      <c r="C18" s="9" t="inlineStr">
        <is>
          <t>Compression spring 10 mm OD x 25 mm free length, 0.6 mm wire, 304 stainless, pack of 5</t>
        </is>
      </c>
      <c r="D18" s="8" t="inlineStr">
        <is>
          <t>Compression spring 10 x 25 x 0.6</t>
        </is>
      </c>
      <c r="E18" s="8" t="inlineStr">
        <is>
          <t>Amazon</t>
        </is>
      </c>
      <c r="F18" s="10" t="inlineStr">
        <is>
          <t>https://us.amazon.com/Compression-Spring-Stainless-Length-Silver/dp/B0DK9C5YT5</t>
        </is>
      </c>
      <c r="G18" s="11" t="n">
        <v>2.24</v>
      </c>
      <c r="H18" s="8" t="inlineStr">
        <is>
          <t>listed</t>
        </is>
      </c>
      <c r="I18" s="9" t="inlineStr">
        <is>
          <t>Two used on the head-drive tensioner; stack two per screw if the friction wheel slips on the dome ring.</t>
        </is>
      </c>
      <c r="J18" s="12">
        <f>B18*G18</f>
        <v/>
      </c>
    </row>
    <row r="19">
      <c r="A19" s="8" t="inlineStr">
        <is>
          <t>H19</t>
        </is>
      </c>
      <c r="B19" s="8" t="n">
        <v>1</v>
      </c>
      <c r="C19" s="9" t="inlineStr">
        <is>
          <t>Socket cap screws M4 x 0.7 x 12 mm, 12.9 alloy, pack of 50</t>
        </is>
      </c>
      <c r="D19" s="8" t="inlineStr">
        <is>
          <t>M4 x 12 socket cap 50 pack</t>
        </is>
      </c>
      <c r="E19" s="8" t="inlineStr">
        <is>
          <t>Amazon</t>
        </is>
      </c>
      <c r="F19" s="10" t="inlineStr">
        <is>
          <t>https://www.amazon.com/dp/B074TFLBFQ</t>
        </is>
      </c>
      <c r="G19" s="11" t="n">
        <v>7.29</v>
      </c>
      <c r="H19" s="8" t="inlineStr">
        <is>
          <t>listed</t>
        </is>
      </c>
      <c r="I19" s="9" t="inlineStr">
        <is>
          <t>Twenty-four used: eight at the body ring seam, eight at the two leg splices, four on the head-drive mount, four holding the electronics tray.</t>
        </is>
      </c>
      <c r="J19" s="12">
        <f>B19*G19</f>
        <v/>
      </c>
    </row>
    <row r="20">
      <c r="A20" s="8" t="inlineStr">
        <is>
          <t>H20</t>
        </is>
      </c>
      <c r="B20" s="8" t="n">
        <v>40</v>
      </c>
      <c r="C20" s="9" t="inlineStr">
        <is>
          <t>Hex nut M4-0.7, class 8.8 zinc</t>
        </is>
      </c>
      <c r="D20" s="8" t="inlineStr">
        <is>
          <t>Bolt Depot 4784</t>
        </is>
      </c>
      <c r="E20" s="8" t="inlineStr">
        <is>
          <t>Bolt Depot</t>
        </is>
      </c>
      <c r="F20" s="10" t="inlineStr">
        <is>
          <t>https://boltdepot.com/Product-List?Units=Metric&amp;Category=Nuts&amp;Subcategory=Hex_nuts&amp;F_Diameter=4mm&amp;F_Thread_pitch=0.7mm&amp;Material=Steel&amp;Plating=Zinc</t>
        </is>
      </c>
      <c r="G20" s="11" t="n">
        <v>0.05</v>
      </c>
      <c r="H20" s="8" t="inlineStr">
        <is>
          <t>listed</t>
        </is>
      </c>
      <c r="I20" s="9" t="inlineStr">
        <is>
          <t>Behind every M4 that does not land in a heat-set insert. $2.54 per 100. Revision D: four more behind the carriage bearing-clamp screws (H39).</t>
        </is>
      </c>
      <c r="J20" s="12">
        <f>B20*G20</f>
        <v/>
      </c>
    </row>
    <row r="21">
      <c r="A21" s="8" t="inlineStr">
        <is>
          <t>H21</t>
        </is>
      </c>
      <c r="B21" s="8" t="n">
        <v>50</v>
      </c>
      <c r="C21" s="9" t="inlineStr">
        <is>
          <t>Flat washer M4, zinc</t>
        </is>
      </c>
      <c r="D21" s="8" t="inlineStr">
        <is>
          <t>Bolt Depot 4525</t>
        </is>
      </c>
      <c r="E21" s="8" t="inlineStr">
        <is>
          <t>Bolt Depot</t>
        </is>
      </c>
      <c r="F21" s="10" t="inlineStr">
        <is>
          <t>https://boltdepot.com/Product-List?Units=Metric&amp;Category=Washers&amp;Subcategory=Flat_washers&amp;F_Size=4mm&amp;Material=Steel&amp;Plating=Zinc</t>
        </is>
      </c>
      <c r="G21" s="11" t="n">
        <v>0.05</v>
      </c>
      <c r="H21" s="8" t="inlineStr">
        <is>
          <t>listed</t>
        </is>
      </c>
      <c r="I21" s="9" t="inlineStr">
        <is>
          <t>One under every M4 head and nut. $1.28 per 100.</t>
        </is>
      </c>
      <c r="J21" s="12">
        <f>B21*G21</f>
        <v/>
      </c>
    </row>
    <row r="22">
      <c r="A22" s="8" t="inlineStr">
        <is>
          <t>H22</t>
        </is>
      </c>
      <c r="B22" s="8" t="n">
        <v>1</v>
      </c>
      <c r="C22" s="9" t="inlineStr">
        <is>
          <t>Heat-set inserts M4 x 8.1 mm, brass, pack of 50 (ruthex RX-M4x8.1)</t>
        </is>
      </c>
      <c r="D22" s="8" t="inlineStr">
        <is>
          <t>ruthex RX-M4x8.1</t>
        </is>
      </c>
      <c r="E22" s="8" t="inlineStr">
        <is>
          <t>Amazon</t>
        </is>
      </c>
      <c r="F22" s="10" t="inlineStr">
        <is>
          <t>https://www.amazon.com/dp/B07YSV66Y5</t>
        </is>
      </c>
      <c r="G22" s="11" t="n">
        <v>9.99</v>
      </c>
      <c r="H22" s="8" t="inlineStr">
        <is>
          <t>listed</t>
        </is>
      </c>
      <c r="I22" s="9" t="inlineStr">
        <is>
          <t>Head-drive mount, electronics tray bosses and the leg splice plates. CAD pocket 5.83 mm diameter x 8.6 mm deep. Revision D: six more, four behind the two GN 412 flanges and two for the guide-shaft set screws (H43).</t>
        </is>
      </c>
      <c r="J22" s="12">
        <f>B22*G22</f>
        <v/>
      </c>
    </row>
    <row r="23">
      <c r="A23" s="8" t="inlineStr">
        <is>
          <t>H23</t>
        </is>
      </c>
      <c r="B23" s="8" t="n">
        <v>1</v>
      </c>
      <c r="C23" s="9" t="inlineStr">
        <is>
          <t>Socket and button head screw, nut and washer kit, M2 / M3 / M4, 1080 pieces</t>
        </is>
      </c>
      <c r="D23" s="8" t="inlineStr">
        <is>
          <t>M2 M3 M4 screw kit 1080 pcs</t>
        </is>
      </c>
      <c r="E23" s="8" t="inlineStr">
        <is>
          <t>Amazon</t>
        </is>
      </c>
      <c r="F23" s="10" t="inlineStr">
        <is>
          <t>https://www.amazon.com/dp/B0CHMKL1DF</t>
        </is>
      </c>
      <c r="G23" s="11" t="n">
        <v>12.99</v>
      </c>
      <c r="H23" s="8" t="inlineStr">
        <is>
          <t>listed</t>
        </is>
      </c>
      <c r="I23" s="9" t="inlineStr">
        <is>
          <t>Source of the M3 x 10 motor-saddle screws (14), the M2 x 6 screws for the four matrix backpacks and the KB2040, and general M3 and M4 spares. Revision D: ten M3 x 10 screws (eight MG995 ear screws, two horn tip pins), two M3 nuts on the tip pins, four M2 x 12 screws for the two SS-01GL switches.</t>
        </is>
      </c>
      <c r="J23" s="12">
        <f>B23*G23</f>
        <v/>
      </c>
    </row>
    <row r="24">
      <c r="A24" s="8" t="inlineStr">
        <is>
          <t>H24</t>
        </is>
      </c>
      <c r="B24" s="8" t="n">
        <v>2</v>
      </c>
      <c r="C24" s="9" t="inlineStr">
        <is>
          <t>Heat-set inserts M3 x 4 mm, brass, pack of 50</t>
        </is>
      </c>
      <c r="D24" s="8" t="inlineStr">
        <is>
          <t>Adafruit 4255</t>
        </is>
      </c>
      <c r="E24" s="8" t="inlineStr">
        <is>
          <t>Adafruit</t>
        </is>
      </c>
      <c r="F24" s="10" t="inlineStr">
        <is>
          <t>https://www.adafruit.com/product/4255</t>
        </is>
      </c>
      <c r="G24" s="11" t="n">
        <v>5.95</v>
      </c>
      <c r="H24" s="8" t="inlineStr">
        <is>
          <t>listed</t>
        </is>
      </c>
      <c r="I24" s="9" t="inlineStr">
        <is>
          <t>Motor saddles in the three feet (14), dome display mounts, slip-ring clamp and the tray standoff bosses. CAD pocket 4.24 mm diameter x 4.5 mm deep. Revision D: eight more behind the two MG995 servo ears.</t>
        </is>
      </c>
      <c r="J24" s="12">
        <f>B24*G24</f>
        <v/>
      </c>
    </row>
    <row r="25">
      <c r="A25" s="8" t="inlineStr">
        <is>
          <t>H25</t>
        </is>
      </c>
      <c r="B25" s="8" t="n">
        <v>1</v>
      </c>
      <c r="C25" s="9" t="inlineStr">
        <is>
          <t>Nylon machine screw and stand-off set, M2.5 thread, 380 pieces</t>
        </is>
      </c>
      <c r="D25" s="8" t="inlineStr">
        <is>
          <t>Adafruit 3299</t>
        </is>
      </c>
      <c r="E25" s="8" t="inlineStr">
        <is>
          <t>Adafruit</t>
        </is>
      </c>
      <c r="F25" s="10" t="inlineStr">
        <is>
          <t>https://www.adafruit.com/product/3299</t>
        </is>
      </c>
      <c r="G25" s="11" t="n">
        <v>16.95</v>
      </c>
      <c r="H25" s="8" t="inlineStr">
        <is>
          <t>listed</t>
        </is>
      </c>
      <c r="I25" s="9" t="inlineStr">
        <is>
          <t>M2.5 x 8 mm screws and standoffs for the Raspberry Pi (four holes, 58 x 49 mm pattern) and the round TFT (two 2.5 mm holes 22.8 mm apart). Page reads Out of stock on 2026-09-12; Adafruit 3658 is the same set in white.</t>
        </is>
      </c>
      <c r="J25" s="12">
        <f>B25*G25</f>
        <v/>
      </c>
    </row>
    <row r="26">
      <c r="A26" s="8" t="inlineStr">
        <is>
          <t>H26</t>
        </is>
      </c>
      <c r="B26" s="8" t="n">
        <v>1</v>
      </c>
      <c r="C26" s="9" t="inlineStr">
        <is>
          <t>Nylon standoff kit M3, 260 pieces, 6-20 mm</t>
        </is>
      </c>
      <c r="D26" s="8" t="inlineStr">
        <is>
          <t>HVAZI M3 standoff kit</t>
        </is>
      </c>
      <c r="E26" s="8" t="inlineStr">
        <is>
          <t>Amazon</t>
        </is>
      </c>
      <c r="F26" s="10" t="inlineStr">
        <is>
          <t>https://www.amazon.com/dp/B01HDR72Q2</t>
        </is>
      </c>
      <c r="G26" s="11" t="n">
        <v>9.99</v>
      </c>
      <c r="H26" s="8" t="inlineStr">
        <is>
          <t>listed</t>
        </is>
      </c>
      <c r="I26" s="9" t="inlineStr">
        <is>
          <t>Stands the four DRV8833 boards, both 6 V regulators, the 5 V regulator, the ADS1115 and the amplifier off the electronics tray.</t>
        </is>
      </c>
      <c r="J26" s="12">
        <f>B26*G26</f>
        <v/>
      </c>
    </row>
    <row r="27">
      <c r="A27" s="8" t="inlineStr">
        <is>
          <t>H27</t>
        </is>
      </c>
      <c r="B27" s="8" t="n">
        <v>1</v>
      </c>
      <c r="C27" s="9" t="inlineStr">
        <is>
          <t>Hook-and-loop cinch straps, 25 mm x 400 mm, pack of 6</t>
        </is>
      </c>
      <c r="D27" s="8" t="inlineStr">
        <is>
          <t>MECCANIXITY cinch straps</t>
        </is>
      </c>
      <c r="E27" s="8" t="inlineStr">
        <is>
          <t>Amazon</t>
        </is>
      </c>
      <c r="F27" s="10" t="inlineStr">
        <is>
          <t>https://www.amazon.com/dp/B0F43TNSM2</t>
        </is>
      </c>
      <c r="G27" s="11" t="n">
        <v>7.59</v>
      </c>
      <c r="H27" s="8" t="inlineStr">
        <is>
          <t>listed</t>
        </is>
      </c>
      <c r="I27" s="9" t="inlineStr">
        <is>
          <t>Two across the battery on the body_lower shelf, anchored in the printed strap slots. One strap does not reach round the battery on its own.</t>
        </is>
      </c>
      <c r="J27" s="12">
        <f>B27*G27</f>
        <v/>
      </c>
    </row>
    <row r="28">
      <c r="A28" s="8" t="inlineStr">
        <is>
          <t>H28</t>
        </is>
      </c>
      <c r="B28" s="8" t="n">
        <v>1</v>
      </c>
      <c r="C28" s="9" t="inlineStr">
        <is>
          <t>Cable ties, 8 inch, pack of 100</t>
        </is>
      </c>
      <c r="D28" s="8" t="inlineStr">
        <is>
          <t>Skalon 8 inch cable ties</t>
        </is>
      </c>
      <c r="E28" s="8" t="inlineStr">
        <is>
          <t>Amazon</t>
        </is>
      </c>
      <c r="F28" s="10" t="inlineStr">
        <is>
          <t>https://www.amazon.com/dp/B09PJ8L58G</t>
        </is>
      </c>
      <c r="G28" s="11" t="n">
        <v>3.99</v>
      </c>
      <c r="H28" s="8" t="inlineStr">
        <is>
          <t>listed</t>
        </is>
      </c>
      <c r="I28" s="9" t="inlineStr">
        <is>
          <t>Harness bundling, strain relief at the slip ring and every leg pass-through.</t>
        </is>
      </c>
      <c r="J28" s="12">
        <f>B28*G28</f>
        <v/>
      </c>
    </row>
    <row r="29">
      <c r="A29" s="8" t="inlineStr">
        <is>
          <t>H29</t>
        </is>
      </c>
      <c r="B29" s="8" t="n">
        <v>1</v>
      </c>
      <c r="C29" s="9" t="inlineStr">
        <is>
          <t>Adhesive cable-tie mounts, 3/4 inch, pack of 100</t>
        </is>
      </c>
      <c r="D29" s="8" t="inlineStr">
        <is>
          <t>GTSE tie mounts</t>
        </is>
      </c>
      <c r="E29" s="8" t="inlineStr">
        <is>
          <t>Amazon</t>
        </is>
      </c>
      <c r="F29" s="10" t="inlineStr">
        <is>
          <t>https://www.amazon.com/dp/B0877BD2SH</t>
        </is>
      </c>
      <c r="G29" s="11" t="n">
        <v>14.99</v>
      </c>
      <c r="H29" s="8" t="inlineStr">
        <is>
          <t>listed</t>
        </is>
      </c>
      <c r="I29" s="9" t="inlineStr">
        <is>
          <t>Route the harness along the inside of the body rings and the legs; each mount also takes an M3 screw if the adhesive lets go.</t>
        </is>
      </c>
      <c r="J29" s="12">
        <f>B29*G29</f>
        <v/>
      </c>
    </row>
    <row r="30">
      <c r="A30" s="8" t="inlineStr">
        <is>
          <t>H30</t>
        </is>
      </c>
      <c r="B30" s="8" t="n">
        <v>1</v>
      </c>
      <c r="C30" s="9" t="inlineStr">
        <is>
          <t>Closed-cell foam tape, 3/4 x 3/8 inch x 17 ft</t>
        </is>
      </c>
      <c r="D30" s="8" t="inlineStr">
        <is>
          <t>Simply Conserve foam tape</t>
        </is>
      </c>
      <c r="E30" s="8" t="inlineStr">
        <is>
          <t>Amazon</t>
        </is>
      </c>
      <c r="F30" s="10" t="inlineStr">
        <is>
          <t>https://www.amazon.com/dp/B00TRUC19C</t>
        </is>
      </c>
      <c r="G30" s="11" t="n">
        <v>4.99</v>
      </c>
      <c r="H30" s="8" t="inlineStr">
        <is>
          <t>allowance</t>
        </is>
      </c>
      <c r="I30" s="9" t="inlineStr">
        <is>
          <t>Under the battery, behind the speaker and around the dome plate. The buy-box price was not extractable on 2026-09-12; $4.99 was the first listed price.</t>
        </is>
      </c>
      <c r="J30" s="12">
        <f>B30*G30</f>
        <v/>
      </c>
    </row>
    <row r="31">
      <c r="A31" s="8" t="inlineStr">
        <is>
          <t>H31</t>
        </is>
      </c>
      <c r="B31" s="8" t="n">
        <v>5</v>
      </c>
      <c r="C31" s="9" t="inlineStr">
        <is>
          <t>Filament, Bambu PETG Basic, 1.75 mm, 1 kg - structural prints</t>
        </is>
      </c>
      <c r="D31" s="8" t="inlineStr">
        <is>
          <t>Bambu PETG Basic</t>
        </is>
      </c>
      <c r="E31" s="8" t="inlineStr">
        <is>
          <t>Bambu Lab US store</t>
        </is>
      </c>
      <c r="F31" s="10" t="inlineStr">
        <is>
          <t>https://us.store.bambulab.com/products/petg-basic</t>
        </is>
      </c>
      <c r="G31" s="11" t="n">
        <v>17.99</v>
      </c>
      <c r="H31" s="8" t="inlineStr">
        <is>
          <t>listed</t>
        </is>
      </c>
      <c r="I31" s="9" t="inlineStr">
        <is>
          <t>Body rings, legs, feet, tray and head drive at 0.20 mm layers, five walls, 30-40 percent gyroid. loads.md estimates 4-5 kg for the whole robot.</t>
        </is>
      </c>
      <c r="J31" s="12">
        <f>B31*G31</f>
        <v/>
      </c>
    </row>
    <row r="32">
      <c r="A32" s="8" t="inlineStr">
        <is>
          <t>H32</t>
        </is>
      </c>
      <c r="B32" s="8" t="n">
        <v>1</v>
      </c>
      <c r="C32" s="9" t="inlineStr">
        <is>
          <t>Filament, Bambu PETG-CF, 1.75 mm, 1 kg - shoulder bosses (optional)</t>
        </is>
      </c>
      <c r="D32" s="8" t="inlineStr">
        <is>
          <t>Bambu PETG-CF</t>
        </is>
      </c>
      <c r="E32" s="8" t="inlineStr">
        <is>
          <t>Bambu Lab US store</t>
        </is>
      </c>
      <c r="F32" s="10" t="inlineStr">
        <is>
          <t>https://us.store.bambulab.com/products/petg-cf</t>
        </is>
      </c>
      <c r="G32" s="11" t="n">
        <v>31.99</v>
      </c>
      <c r="H32" s="8" t="inlineStr">
        <is>
          <t>listed</t>
        </is>
      </c>
      <c r="I32" s="9" t="inlineStr">
        <is>
          <t>Optional: highest X-Y bending strength (83 MPa) for the shoulder bosses and leg cores. Needs a hardened steel nozzle and is not AMS lite compatible.</t>
        </is>
      </c>
      <c r="J32" s="12">
        <f>B32*G32</f>
        <v/>
      </c>
    </row>
    <row r="33">
      <c r="A33" s="8" t="inlineStr">
        <is>
          <t>H33</t>
        </is>
      </c>
      <c r="B33" s="8" t="n">
        <v>1</v>
      </c>
      <c r="C33" s="9" t="inlineStr">
        <is>
          <t>Filament, Bambu PLA Basic, 1.75 mm, 1 kg - dome (optional finish)</t>
        </is>
      </c>
      <c r="D33" s="8" t="inlineStr">
        <is>
          <t>Bambu PLA Basic</t>
        </is>
      </c>
      <c r="E33" s="8" t="inlineStr">
        <is>
          <t>Bambu Lab US store</t>
        </is>
      </c>
      <c r="F33" s="10" t="inlineStr">
        <is>
          <t>https://us.store.bambulab.com/products/pla-basic-filament</t>
        </is>
      </c>
      <c r="G33" s="11" t="n">
        <v>19.99</v>
      </c>
      <c r="H33" s="8" t="inlineStr">
        <is>
          <t>listed</t>
        </is>
      </c>
      <c r="I33" s="9" t="inlineStr">
        <is>
          <t>Optional: the dome carries only its own weight on the ring bearing, and PLA holds the panel detail better. Keep the robot out of a hot car either way.</t>
        </is>
      </c>
      <c r="J33" s="12">
        <f>B33*G33</f>
        <v/>
      </c>
    </row>
    <row r="34">
      <c r="A34" s="8" t="inlineStr">
        <is>
          <t>H34</t>
        </is>
      </c>
      <c r="B34" s="8" t="n">
        <v>2</v>
      </c>
      <c r="C34" s="9" t="inlineStr">
        <is>
          <t>Indexing plunger, zinc die-cast, 6 mm pin, screw-on flange 35 x 26 x 12 mm - shoulder stance lock</t>
        </is>
      </c>
      <c r="D34" s="8" t="inlineStr">
        <is>
          <t>J.W. Winco GN 412-6-35-B-1</t>
        </is>
      </c>
      <c r="E34" s="8" t="inlineStr">
        <is>
          <t>J.W. Winco</t>
        </is>
      </c>
      <c r="F34" s="10" t="inlineStr">
        <is>
          <t>https://www.jwwinco.com/en-us/products/3.1-Indexing-locking-blocking-with-pins-and-ball-shaped-elements/Indexing-plungers/GN-412-Zinc-Die-Cast-Indexing-Plungers-with-Screw-On-Flange</t>
        </is>
      </c>
      <c r="G34" s="11" t="n">
        <v>11.77</v>
      </c>
      <c r="H34" s="8" t="inlineStr">
        <is>
          <t>listed</t>
        </is>
      </c>
      <c r="I34" s="9" t="inlineStr">
        <is>
          <t>One per shoulder. Flange sits 5 mm deep in the body_upper pad and 7 mm proud, pin face 1 mm from the leg; 5 mm engagement. Pin 6 mm, spring 5 N initial / 15 N end, 0.152 lb (drawing https://live-catalog.jwwinco.com/pdf/winco/us/412.pdf). Price and data as recorded in fable-r2d3 docs/revision-d-mechanism.md on 2026-09-12.</t>
        </is>
      </c>
      <c r="J34" s="12">
        <f>B34*G34</f>
        <v/>
      </c>
    </row>
    <row r="35">
      <c r="A35" s="8" t="inlineStr">
        <is>
          <t>H35</t>
        </is>
      </c>
      <c r="B35" s="8" t="n">
        <v>4</v>
      </c>
      <c r="C35" s="9" t="inlineStr">
        <is>
          <t>Receiver bushing, hardened, M12 x 1.5 x 10 mm body, 13 mm hex, 6.2 mm bore</t>
        </is>
      </c>
      <c r="D35" s="8" t="inlineStr">
        <is>
          <t>J.W. Winco GN 412.2-M12X1.5-B6.2</t>
        </is>
      </c>
      <c r="E35" s="8" t="inlineStr">
        <is>
          <t>J.W. Winco</t>
        </is>
      </c>
      <c r="F35" s="10" t="inlineStr">
        <is>
          <t>https://live-catalog.jwwinco.com/pdf/winco/us/412_2.pdf?dispositiontype=attachment</t>
        </is>
      </c>
      <c r="G35" s="11" t="n">
        <v>5.66</v>
      </c>
      <c r="H35" s="8" t="inlineStr">
        <is>
          <t>listed</t>
        </is>
      </c>
      <c r="I35" s="9" t="inlineStr">
        <is>
          <t>Two per leg_upper inboard face at 50 mm radius, 261 and 279 deg (tilt 0 and 18). Screwed into 11.0 mm thread-forming bores; the hex seats in a 13.3 mm pocket. 0.022 lb each.</t>
        </is>
      </c>
      <c r="J35" s="12">
        <f>B35*G35</f>
        <v/>
      </c>
    </row>
    <row r="36">
      <c r="A36" s="8" t="inlineStr">
        <is>
          <t>H36</t>
        </is>
      </c>
      <c r="B36" s="8" t="n">
        <v>2</v>
      </c>
      <c r="C36" s="9" t="inlineStr">
        <is>
          <t>Hex bolt M8-1.25 x 35 mm, class 8.8 zinc - centre-leg pitch hinge</t>
        </is>
      </c>
      <c r="D36" s="8" t="inlineStr">
        <is>
          <t>Bolt Depot metric hex bolt 8 mm x 1.25 mm x 35 mm</t>
        </is>
      </c>
      <c r="E36" s="8" t="inlineStr">
        <is>
          <t>Bolt Depot</t>
        </is>
      </c>
      <c r="F36" s="10" t="inlineStr">
        <is>
          <t>https://boltdepot.com/Metric_hex_bolts_Zinc_plated_class_8.8_steel_8mm_x_1.25mm.aspx</t>
        </is>
      </c>
      <c r="G36" s="11" t="n">
        <v>0.35</v>
      </c>
      <c r="H36" s="8" t="inlineStr">
        <is>
          <t>allowance</t>
        </is>
      </c>
      <c r="I36" s="9" t="inlineStr">
        <is>
          <t>One per carriage cheek, through the bronze sleeve (H37) into a captive M8 nut (H10) in leg_center, with an M8 washer (H12) under the head. Bolt Depot page prices load by script; allowance.</t>
        </is>
      </c>
      <c r="J36" s="12">
        <f>B36*G36</f>
        <v/>
      </c>
    </row>
    <row r="37">
      <c r="A37" s="8" t="inlineStr">
        <is>
          <t>H37</t>
        </is>
      </c>
      <c r="B37" s="8" t="n">
        <v>1</v>
      </c>
      <c r="C37" s="9" t="inlineStr">
        <is>
          <t>Sintered bronze sleeve bushing 8 mm ID x 12 mm OD x 12 mm long, pack of 10</t>
        </is>
      </c>
      <c r="D37" s="8" t="inlineStr">
        <is>
          <t>uxcell 8x12x12 mm bronze bushing 10 pack</t>
        </is>
      </c>
      <c r="E37" s="8" t="inlineStr">
        <is>
          <t>Amazon</t>
        </is>
      </c>
      <c r="F37" s="10" t="inlineStr">
        <is>
          <t>https://www.amazon.com/s?k=uxcell+sintered+bronze+bushing+8mm+bore+12mm+OD+12mm+length</t>
        </is>
      </c>
      <c r="G37" s="11" t="n">
        <v>9.99</v>
      </c>
      <c r="H37" s="8" t="inlineStr">
        <is>
          <t>allowance</t>
        </is>
      </c>
      <c r="I37" s="9" t="inlineStr">
        <is>
          <t>Two used: the pitch-hinge sleeves. Each is clamped to leg_center by its M8 bolt; the 11 mm carriage cheek turns on its outside and it stands 0.5 mm proud. Eight spare. Search link: the listing page was not fetched on 2026-09-12.</t>
        </is>
      </c>
      <c r="J37" s="12">
        <f>B37*G37</f>
        <v/>
      </c>
    </row>
    <row r="38">
      <c r="A38" s="8" t="inlineStr">
        <is>
          <t>H38</t>
        </is>
      </c>
      <c r="B38" s="8" t="n">
        <v>1</v>
      </c>
      <c r="C38" s="9" t="inlineStr">
        <is>
          <t>Linear ball bushing LM12LUU, 12 x 21 x 57 mm, sealed, two pack</t>
        </is>
      </c>
      <c r="D38" s="8" t="inlineStr">
        <is>
          <t>VXB LM12LUU two pack</t>
        </is>
      </c>
      <c r="E38" s="8" t="inlineStr">
        <is>
          <t>VXB</t>
        </is>
      </c>
      <c r="F38" s="10" t="inlineStr">
        <is>
          <t>https://vxb.com/products/two-pack-lm12luu-12mm-long-linear-ball-bearing-bus</t>
        </is>
      </c>
      <c r="G38" s="11" t="n">
        <v>39.99</v>
      </c>
      <c r="H38" s="8" t="inlineStr">
        <is>
          <t>listed</t>
        </is>
      </c>
      <c r="I38" s="9" t="inlineStr">
        <is>
          <t>Both used: one per carriage bearing seat, clamped by a slit and two M4 screws. Page on 2026-09-12 showed $39.99 and a second $80.00 compare-at figure; the lower is taken. Load rating 657 N dynamic / 1200 N static (Bearings Direct listing).</t>
        </is>
      </c>
      <c r="J38" s="12">
        <f>B38*G38</f>
        <v/>
      </c>
    </row>
    <row r="39">
      <c r="A39" s="8" t="inlineStr">
        <is>
          <t>H39</t>
        </is>
      </c>
      <c r="B39" s="8" t="n">
        <v>4</v>
      </c>
      <c r="C39" s="9" t="inlineStr">
        <is>
          <t>Socket cap screw M4-0.7 x 25 mm, class 12.9 alloy - carriage bearing clamps</t>
        </is>
      </c>
      <c r="D39" s="8" t="inlineStr">
        <is>
          <t>Bolt Depot metric socket cap 4 mm x 0.7 mm x 25 mm</t>
        </is>
      </c>
      <c r="E39" s="8" t="inlineStr">
        <is>
          <t>Bolt Depot</t>
        </is>
      </c>
      <c r="F39" s="10" t="inlineStr">
        <is>
          <t>https://boltdepot.com/Metric_socket_cap_Class_12.9_black_alloy_steel_4mm_x_0.7mm.aspx</t>
        </is>
      </c>
      <c r="G39" s="11" t="n">
        <v>0.25</v>
      </c>
      <c r="H39" s="8" t="inlineStr">
        <is>
          <t>allowance</t>
        </is>
      </c>
      <c r="I39" s="9" t="inlineStr">
        <is>
          <t>Two per LM12LUU seat, across the clamp slit, nut in a printed pocket (H20).</t>
        </is>
      </c>
      <c r="J39" s="12">
        <f>B39*G39</f>
        <v/>
      </c>
    </row>
    <row r="40">
      <c r="A40" s="8" t="inlineStr">
        <is>
          <t>H40</t>
        </is>
      </c>
      <c r="B40" s="8" t="n">
        <v>2</v>
      </c>
      <c r="C40" s="9" t="inlineStr">
        <is>
          <t>Hardened chrome steel linear shaft 12 mm x 200 mm - centre-leg guide</t>
        </is>
      </c>
      <c r="D40" s="8" t="inlineStr">
        <is>
          <t>VXB 12mm shaft hardened rod 200 mm</t>
        </is>
      </c>
      <c r="E40" s="8" t="inlineStr">
        <is>
          <t>VXB</t>
        </is>
      </c>
      <c r="F40" s="10" t="inlineStr">
        <is>
          <t>https://vxb.com/products/12mm-shaft-hardened-rod-linear-motion-200mm-long</t>
        </is>
      </c>
      <c r="G40" s="11" t="n">
        <v>19.99</v>
      </c>
      <c r="H40" s="8" t="inlineStr">
        <is>
          <t>listed</t>
        </is>
      </c>
      <c r="I40" s="9" t="inlineStr">
        <is>
          <t>CUT EACH TO 182 mm, deburr and chamfer. Pressed into the blind bottom boss and the open top boss of body_lower at x +/-66 mm on the 30 deg guide. Page on 2026-09-12 showed $19.99 and $30.00; the lower is taken.</t>
        </is>
      </c>
      <c r="J40" s="12">
        <f>B40*G40</f>
        <v/>
      </c>
    </row>
    <row r="41">
      <c r="A41" s="8" t="inlineStr">
        <is>
          <t>H41</t>
        </is>
      </c>
      <c r="B41" s="8" t="n">
        <v>4</v>
      </c>
      <c r="C41" s="9" t="inlineStr">
        <is>
          <t>Socket cap screw M4-0.7 x 16 mm, class 12.9 alloy - GN 412 flanges</t>
        </is>
      </c>
      <c r="D41" s="8" t="inlineStr">
        <is>
          <t>Bolt Depot metric socket cap 4 mm x 0.7 mm x 16 mm</t>
        </is>
      </c>
      <c r="E41" s="8" t="inlineStr">
        <is>
          <t>Bolt Depot</t>
        </is>
      </c>
      <c r="F41" s="10" t="inlineStr">
        <is>
          <t>https://boltdepot.com/Metric_socket_cap_Class_12.9_black_alloy_steel_4mm_x_0.7mm.aspx</t>
        </is>
      </c>
      <c r="G41" s="11" t="n">
        <v>0.22</v>
      </c>
      <c r="H41" s="8" t="inlineStr">
        <is>
          <t>allowance</t>
        </is>
      </c>
      <c r="I41" s="9" t="inlineStr">
        <is>
          <t>Two per plunger, heads in the flange counterbores, into M4 heat-set inserts (H22). The leg must be off to fit them.</t>
        </is>
      </c>
      <c r="J41" s="12">
        <f>B41*G41</f>
        <v/>
      </c>
    </row>
    <row r="42">
      <c r="A42" s="8" t="inlineStr">
        <is>
          <t>H42</t>
        </is>
      </c>
      <c r="B42" s="8" t="n">
        <v>1</v>
      </c>
      <c r="C42" s="9" t="inlineStr">
        <is>
          <t>Socket cap screw M4-0.7 x 45 mm, class 12.9 alloy - P16 rod-eye pin</t>
        </is>
      </c>
      <c r="D42" s="8" t="inlineStr">
        <is>
          <t>Bolt Depot metric socket cap 4 mm x 0.7 mm x 45 mm</t>
        </is>
      </c>
      <c r="E42" s="8" t="inlineStr">
        <is>
          <t>Bolt Depot</t>
        </is>
      </c>
      <c r="F42" s="10" t="inlineStr">
        <is>
          <t>https://boltdepot.com/Metric_socket_cap_Class_12.9_black_alloy_steel_4mm_x_0.7mm.aspx</t>
        </is>
      </c>
      <c r="G42" s="11" t="n">
        <v>0.35</v>
      </c>
      <c r="H42" s="8" t="inlineStr">
        <is>
          <t>allowance</t>
        </is>
      </c>
      <c r="I42" s="9" t="inlineStr">
        <is>
          <t>Through the carriage cross-web and the actuator rod eye; nylon-insert nut (H45) in the web pocket.</t>
        </is>
      </c>
      <c r="J42" s="12">
        <f>B42*G42</f>
        <v/>
      </c>
    </row>
    <row r="43">
      <c r="A43" s="8" t="inlineStr">
        <is>
          <t>H43</t>
        </is>
      </c>
      <c r="B43" s="8" t="n">
        <v>2</v>
      </c>
      <c r="C43" s="9" t="inlineStr">
        <is>
          <t>Set screw M4-0.7 x 8 mm, cup point, alloy - guide-shaft retention</t>
        </is>
      </c>
      <c r="D43" s="8" t="inlineStr">
        <is>
          <t>Bolt Depot metric socket set screw cup point 4 mm x 0.7 mm x 8 mm</t>
        </is>
      </c>
      <c r="E43" s="8" t="inlineStr">
        <is>
          <t>Bolt Depot</t>
        </is>
      </c>
      <c r="F43" s="10" t="inlineStr">
        <is>
          <t>https://boltdepot.com/Metric_socket_set_screws_cup_point_Alloy_steel_4mm_x_0.7mm.aspx</t>
        </is>
      </c>
      <c r="G43" s="11" t="n">
        <v>0.18</v>
      </c>
      <c r="H43" s="8" t="inlineStr">
        <is>
          <t>allowance</t>
        </is>
      </c>
      <c r="I43" s="9" t="inlineStr">
        <is>
          <t>One per top shaft boss, into an M4 heat-set insert (H22), against the shaft.</t>
        </is>
      </c>
      <c r="J43" s="12">
        <f>B43*G43</f>
        <v/>
      </c>
    </row>
    <row r="44">
      <c r="A44" s="8" t="inlineStr">
        <is>
          <t>H44</t>
        </is>
      </c>
      <c r="B44" s="8" t="n">
        <v>1</v>
      </c>
      <c r="C44" s="9" t="inlineStr">
        <is>
          <t>Socket cap screw M4-0.7 x 60 mm, class 12.9 alloy - P16 fixed-eye pin</t>
        </is>
      </c>
      <c r="D44" s="8" t="inlineStr">
        <is>
          <t>Bolt Depot metric socket cap 4 mm x 0.7 mm x 60 mm</t>
        </is>
      </c>
      <c r="E44" s="8" t="inlineStr">
        <is>
          <t>Bolt Depot</t>
        </is>
      </c>
      <c r="F44" s="10" t="inlineStr">
        <is>
          <t>https://boltdepot.com/Metric_socket_cap_Class_12.9_black_alloy_steel_4mm_x_0.7mm.aspx</t>
        </is>
      </c>
      <c r="G44" s="11" t="n">
        <v>0.45</v>
      </c>
      <c r="H44" s="8" t="inlineStr">
        <is>
          <t>allowance</t>
        </is>
      </c>
      <c r="I44" s="9" t="inlineStr">
        <is>
          <t>Through both body_upper deck cheeks and the actuator's fixed eye; nylon-insert nut (H45).</t>
        </is>
      </c>
      <c r="J44" s="12">
        <f>B44*G44</f>
        <v/>
      </c>
    </row>
    <row r="45">
      <c r="A45" s="8" t="inlineStr">
        <is>
          <t>H45</t>
        </is>
      </c>
      <c r="B45" s="8" t="n">
        <v>2</v>
      </c>
      <c r="C45" s="9" t="inlineStr">
        <is>
          <t>Nylon-insert lock nut M4-0.7, zinc</t>
        </is>
      </c>
      <c r="D45" s="8" t="inlineStr">
        <is>
          <t>Bolt Depot metric nylon insert lock nut 4 mm x 0.7 mm</t>
        </is>
      </c>
      <c r="E45" s="8" t="inlineStr">
        <is>
          <t>Bolt Depot</t>
        </is>
      </c>
      <c r="F45" s="10" t="inlineStr">
        <is>
          <t>https://boltdepot.com/Metric_nylon_insert_lock_nuts_Zinc_plated_steel_4mm_x_0.7mm.aspx</t>
        </is>
      </c>
      <c r="G45" s="11" t="n">
        <v>0.08</v>
      </c>
      <c r="H45" s="8" t="inlineStr">
        <is>
          <t>allowance</t>
        </is>
      </c>
      <c r="I45" s="9" t="inlineStr">
        <is>
          <t>On the two actuator eye pins (H42, H44).</t>
        </is>
      </c>
      <c r="J45" s="12">
        <f>B45*G45</f>
        <v/>
      </c>
    </row>
    <row r="46">
      <c r="C46" s="5" t="inlineStr">
        <is>
          <t>Sheet total</t>
        </is>
      </c>
      <c r="J46" s="6">
        <f>SUM(J2:J45)</f>
        <v/>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24" customWidth="1" min="1" max="1"/>
    <col width="6" customWidth="1" min="2" max="2"/>
    <col width="10" customWidth="1" min="3" max="3"/>
    <col width="12" customWidth="1" min="4" max="4"/>
    <col width="9" customWidth="1" min="5" max="5"/>
    <col width="9" customWidth="1" min="6" max="6"/>
    <col width="9" customWidth="1" min="7" max="7"/>
    <col width="14" customWidth="1" min="8" max="8"/>
    <col width="16" customWidth="1" min="9" max="9"/>
    <col width="12" customWidth="1" min="10" max="10"/>
    <col width="30" customWidth="1" min="11" max="11"/>
    <col width="60" customWidth="1" min="12" max="12"/>
  </cols>
  <sheetData>
    <row r="1" ht="30" customHeight="1">
      <c r="A1" s="7" t="inlineStr">
        <is>
          <t>STL file</t>
        </is>
      </c>
      <c r="B1" s="7" t="inlineStr">
        <is>
          <t>Qty</t>
        </is>
      </c>
      <c r="C1" s="7" t="inlineStr">
        <is>
          <t>Material</t>
        </is>
      </c>
      <c r="D1" s="7" t="inlineStr">
        <is>
          <t>Mirror for 2nd</t>
        </is>
      </c>
      <c r="E1" s="7" t="inlineStr">
        <is>
          <t>X mm</t>
        </is>
      </c>
      <c r="F1" s="7" t="inlineStr">
        <is>
          <t>Y mm</t>
        </is>
      </c>
      <c r="G1" s="7" t="inlineStr">
        <is>
          <t>Z mm</t>
        </is>
      </c>
      <c r="H1" s="7" t="inlineStr">
        <is>
          <t>Solid mass g (bound)</t>
        </is>
      </c>
      <c r="I1" s="7" t="inlineStr">
        <is>
          <t>Sliced mass g (H2D, incl. support)</t>
        </is>
      </c>
      <c r="J1" s="7" t="inlineStr">
        <is>
          <t>Sliced time h</t>
        </is>
      </c>
      <c r="K1" s="7" t="inlineStr">
        <is>
          <t>Orientation</t>
        </is>
      </c>
      <c r="L1" s="7" t="inlineStr">
        <is>
          <t>Notes</t>
        </is>
      </c>
    </row>
    <row r="2">
      <c r="A2" s="8" t="inlineStr">
        <is>
          <t>stl/dome.stl</t>
        </is>
      </c>
      <c r="B2" s="8" t="n">
        <v>1</v>
      </c>
      <c r="C2" s="8" t="inlineStr">
        <is>
          <t>PETG</t>
        </is>
      </c>
      <c r="D2" s="8" t="inlineStr">
        <is>
          <t>no</t>
        </is>
      </c>
      <c r="E2" s="8" t="n">
        <v>316.83</v>
      </c>
      <c r="F2" s="8" t="n">
        <v>316.83</v>
      </c>
      <c r="G2" s="8" t="n">
        <v>199.139</v>
      </c>
      <c r="H2" s="8" t="n">
        <v>1304.3</v>
      </c>
      <c r="I2" s="8" t="n">
        <v>1243.4</v>
      </c>
      <c r="J2" s="8" t="n">
        <v>35.36</v>
      </c>
      <c r="K2" s="9" t="inlineStr">
        <is>
          <t>Lip down on the plate; crown up</t>
        </is>
      </c>
      <c r="L2" s="9" t="inlineStr">
        <is>
          <t>One-piece detailed dome with display cutouts; tree supports under the top disc only</t>
        </is>
      </c>
    </row>
    <row r="3">
      <c r="A3" s="8" t="inlineStr">
        <is>
          <t>stl/body_upper.stl</t>
        </is>
      </c>
      <c r="B3" s="8" t="n">
        <v>1</v>
      </c>
      <c r="C3" s="8" t="inlineStr">
        <is>
          <t>PETG</t>
        </is>
      </c>
      <c r="D3" s="8" t="inlineStr">
        <is>
          <t>no</t>
        </is>
      </c>
      <c r="E3" s="8" t="n">
        <v>317</v>
      </c>
      <c r="F3" s="8" t="n">
        <v>317</v>
      </c>
      <c r="G3" s="8" t="n">
        <v>264</v>
      </c>
      <c r="H3" s="8" t="n">
        <v>3736.7</v>
      </c>
      <c r="I3" s="8" t="n">
        <v>3284.3</v>
      </c>
      <c r="J3" s="8" t="n">
        <v>113.76</v>
      </c>
      <c r="K3" s="9" t="inlineStr">
        <is>
          <t>Bottom (mating lip) down</t>
        </is>
      </c>
      <c r="L3" s="9" t="inlineStr">
        <is>
          <t>Upper body ring with integral electronics deck, shoulder bosses, head ring and lazy-susan seat; no brim</t>
        </is>
      </c>
    </row>
    <row r="4">
      <c r="A4" s="8" t="inlineStr">
        <is>
          <t>stl/body_lower.stl</t>
        </is>
      </c>
      <c r="B4" s="8" t="n">
        <v>1</v>
      </c>
      <c r="C4" s="8" t="inlineStr">
        <is>
          <t>PETG</t>
        </is>
      </c>
      <c r="D4" s="8" t="inlineStr">
        <is>
          <t>no</t>
        </is>
      </c>
      <c r="E4" s="8" t="n">
        <v>317</v>
      </c>
      <c r="F4" s="8" t="n">
        <v>317</v>
      </c>
      <c r="G4" s="8" t="n">
        <v>166.945</v>
      </c>
      <c r="H4" s="8" t="n">
        <v>2279.2</v>
      </c>
      <c r="I4" s="8" t="n">
        <v>2076.7</v>
      </c>
      <c r="J4" s="8" t="n">
        <v>60.47</v>
      </c>
      <c r="K4" s="9" t="inlineStr">
        <is>
          <t>Skirt bottom down</t>
        </is>
      </c>
      <c r="L4" s="9" t="inlineStr">
        <is>
          <t>Lower body ring, skirt, battery bay, centre-leg socket, electronics tray; no brim</t>
        </is>
      </c>
    </row>
    <row r="5">
      <c r="A5" s="8" t="inlineStr">
        <is>
          <t>stl/leg_upper.stl</t>
        </is>
      </c>
      <c r="B5" s="8" t="n">
        <v>2</v>
      </c>
      <c r="C5" s="8" t="inlineStr">
        <is>
          <t>PETG</t>
        </is>
      </c>
      <c r="D5" s="8" t="inlineStr">
        <is>
          <t>yes</t>
        </is>
      </c>
      <c r="E5" s="8" t="n">
        <v>289.7</v>
      </c>
      <c r="F5" s="8" t="n">
        <v>139.4</v>
      </c>
      <c r="G5" s="8" t="n">
        <v>50.79</v>
      </c>
      <c r="H5" s="8" t="n">
        <v>1445.1</v>
      </c>
      <c r="I5" s="8" t="n">
        <v>611</v>
      </c>
      <c r="J5" s="8" t="n">
        <v>19.89</v>
      </c>
      <c r="K5" s="9" t="inlineStr">
        <is>
          <t>Shoulder face down</t>
        </is>
      </c>
      <c r="L5" s="9" t="inlineStr">
        <is>
          <t>Left file supplied; mirror in the slicer for the right leg</t>
        </is>
      </c>
    </row>
    <row r="6">
      <c r="A6" s="8" t="inlineStr">
        <is>
          <t>stl/leg_lower.stl</t>
        </is>
      </c>
      <c r="B6" s="8" t="n">
        <v>2</v>
      </c>
      <c r="C6" s="8" t="inlineStr">
        <is>
          <t>PETG</t>
        </is>
      </c>
      <c r="D6" s="8" t="inlineStr">
        <is>
          <t>yes</t>
        </is>
      </c>
      <c r="E6" s="8" t="n">
        <v>232</v>
      </c>
      <c r="F6" s="8" t="n">
        <v>100</v>
      </c>
      <c r="G6" s="8" t="n">
        <v>58.25</v>
      </c>
      <c r="H6" s="8" t="n">
        <v>667.3</v>
      </c>
      <c r="I6" s="8" t="n">
        <v>314.2</v>
      </c>
      <c r="J6" s="8" t="n">
        <v>11.16</v>
      </c>
      <c r="K6" s="9" t="inlineStr">
        <is>
          <t>Splice face down</t>
        </is>
      </c>
      <c r="L6" s="9" t="inlineStr">
        <is>
          <t>Left file supplied; mirror in the slicer for the right leg</t>
        </is>
      </c>
    </row>
    <row r="7">
      <c r="A7" s="8" t="inlineStr">
        <is>
          <t>stl/foot_outer.stl</t>
        </is>
      </c>
      <c r="B7" s="8" t="n">
        <v>2</v>
      </c>
      <c r="C7" s="8" t="inlineStr">
        <is>
          <t>PETG</t>
        </is>
      </c>
      <c r="D7" s="8" t="inlineStr">
        <is>
          <t>yes</t>
        </is>
      </c>
      <c r="E7" s="8" t="n">
        <v>181.8</v>
      </c>
      <c r="F7" s="8" t="n">
        <v>265</v>
      </c>
      <c r="G7" s="8" t="n">
        <v>105.2</v>
      </c>
      <c r="H7" s="8" t="n">
        <v>855</v>
      </c>
      <c r="I7" s="8" t="n">
        <v>679.4</v>
      </c>
      <c r="J7" s="8" t="n">
        <v>19.56</v>
      </c>
      <c r="K7" s="9" t="inlineStr">
        <is>
          <t>Sole down</t>
        </is>
      </c>
      <c r="L7" s="9" t="inlineStr">
        <is>
          <t>Left file supplied; mirror in the slicer for the right foot; two motors and four wheels</t>
        </is>
      </c>
    </row>
    <row r="8">
      <c r="A8" s="8" t="inlineStr">
        <is>
          <t>stl/leg_center.stl</t>
        </is>
      </c>
      <c r="B8" s="8" t="n">
        <v>1</v>
      </c>
      <c r="C8" s="8" t="inlineStr">
        <is>
          <t>PETG</t>
        </is>
      </c>
      <c r="D8" s="8" t="inlineStr">
        <is>
          <t>no</t>
        </is>
      </c>
      <c r="E8" s="8" t="n">
        <v>83.3</v>
      </c>
      <c r="F8" s="8" t="n">
        <v>64</v>
      </c>
      <c r="G8" s="8" t="n">
        <v>64.807</v>
      </c>
      <c r="H8" s="8" t="n">
        <v>247.1</v>
      </c>
      <c r="I8" s="8" t="n">
        <v>124.3</v>
      </c>
      <c r="J8" s="8" t="n">
        <v>4.14</v>
      </c>
      <c r="K8" s="9" t="inlineStr">
        <is>
          <t>Bearing face down</t>
        </is>
      </c>
      <c r="L8" s="9" t="inlineStr">
        <is>
          <t>Revision D centre-leg housing: caster bearings, pitch-hinge nut pockets, heel and toe stop faces</t>
        </is>
      </c>
    </row>
    <row r="9">
      <c r="A9" s="8" t="inlineStr">
        <is>
          <t>stl/leg_carriage.stl</t>
        </is>
      </c>
      <c r="B9" s="8" t="n">
        <v>1</v>
      </c>
      <c r="C9" s="8" t="inlineStr">
        <is>
          <t>PETG</t>
        </is>
      </c>
      <c r="D9" s="8" t="inlineStr">
        <is>
          <t>no</t>
        </is>
      </c>
      <c r="E9" s="8" t="n">
        <v>171</v>
      </c>
      <c r="F9" s="8" t="n">
        <v>174.5</v>
      </c>
      <c r="G9" s="8" t="n">
        <v>36.5</v>
      </c>
      <c r="H9" s="8" t="n">
        <v>441.1</v>
      </c>
      <c r="I9" s="8" t="n">
        <v>247.8</v>
      </c>
      <c r="J9" s="8" t="n">
        <v>7.9</v>
      </c>
      <c r="K9" s="9" t="inlineStr">
        <is>
          <t>Top frame down; tree supports under the cross-web</t>
        </is>
      </c>
      <c r="L9" s="9" t="inlineStr">
        <is>
          <t>Revision D centre-leg carriage: two LM12LUU seats, pitch-hinge cheeks, P16 rod-eye web. Added because the pitch hinge must join the guide bearings, the actuator eye and the housing and no purchased joint does all three</t>
        </is>
      </c>
    </row>
    <row r="10">
      <c r="A10" s="8" t="inlineStr">
        <is>
          <t>stl/foot_center.stl</t>
        </is>
      </c>
      <c r="B10" s="8" t="n">
        <v>1</v>
      </c>
      <c r="C10" s="8" t="inlineStr">
        <is>
          <t>PETG</t>
        </is>
      </c>
      <c r="D10" s="8" t="inlineStr">
        <is>
          <t>no</t>
        </is>
      </c>
      <c r="E10" s="8" t="n">
        <v>123.3</v>
      </c>
      <c r="F10" s="8" t="n">
        <v>180.2</v>
      </c>
      <c r="G10" s="8" t="n">
        <v>119.9</v>
      </c>
      <c r="H10" s="8" t="n">
        <v>510.1</v>
      </c>
      <c r="I10" s="8" t="n">
        <v>330.7</v>
      </c>
      <c r="J10" s="8" t="n">
        <v>9.48</v>
      </c>
      <c r="K10" s="9" t="inlineStr">
        <is>
          <t>Sole down</t>
        </is>
      </c>
      <c r="L10" s="9" t="inlineStr">
        <is>
          <t>Centre foot with caster stem; two motors and four wheels</t>
        </is>
      </c>
    </row>
    <row r="11">
      <c r="A11" s="8" t="inlineStr">
        <is>
          <t>stl/head_drive.stl</t>
        </is>
      </c>
      <c r="B11" s="8" t="n">
        <v>1</v>
      </c>
      <c r="C11" s="8" t="inlineStr">
        <is>
          <t>PETG</t>
        </is>
      </c>
      <c r="D11" s="8" t="inlineStr">
        <is>
          <t>no</t>
        </is>
      </c>
      <c r="E11" s="8" t="n">
        <v>116.5</v>
      </c>
      <c r="F11" s="8" t="n">
        <v>72.283</v>
      </c>
      <c r="G11" s="8" t="n">
        <v>39.914</v>
      </c>
      <c r="H11" s="8" t="n">
        <v>106.8</v>
      </c>
      <c r="I11" s="8" t="n">
        <v>81.3</v>
      </c>
      <c r="J11" s="8" t="n">
        <v>3</v>
      </c>
      <c r="K11" s="9" t="inlineStr">
        <is>
          <t>Base down</t>
        </is>
      </c>
      <c r="L11" s="9" t="inlineStr">
        <is>
          <t>Pivoting friction-drive motor mount with tension screw</t>
        </is>
      </c>
    </row>
    <row r="12">
      <c r="A12" s="5" t="inlineStr">
        <is>
          <t>Totals (qty x per-part)</t>
        </is>
      </c>
      <c r="I12" s="5">
        <f>SUMPRODUCT(B2:B11,I2:I11)</f>
        <v/>
      </c>
      <c r="J12" s="5">
        <f>SUMPRODUCT(B2:B11,J2:J11)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30" customWidth="1" min="3" max="3"/>
    <col width="12" customWidth="1" min="4" max="4"/>
    <col width="12" customWidth="1" min="5" max="5"/>
    <col width="50" customWidth="1" min="6" max="6"/>
  </cols>
  <sheetData>
    <row r="1" ht="30" customHeight="1">
      <c r="A1" s="7" t="inlineStr">
        <is>
          <t>Material</t>
        </is>
      </c>
      <c r="B1" s="7" t="inlineStr">
        <is>
          <t>Sliced mass g (qty applied)</t>
        </is>
      </c>
      <c r="C1" s="7" t="inlineStr">
        <is>
          <t>Spools of 1 kg (with 25 % waste)</t>
        </is>
      </c>
      <c r="D1" s="7" t="inlineStr">
        <is>
          <t>Spool USD</t>
        </is>
      </c>
      <c r="E1" s="7" t="inlineStr">
        <is>
          <t>Cost USD</t>
        </is>
      </c>
      <c r="F1" s="7" t="inlineStr">
        <is>
          <t>Source</t>
        </is>
      </c>
    </row>
    <row r="2">
      <c r="A2" t="inlineStr">
        <is>
          <t>PETG</t>
        </is>
      </c>
      <c r="B2" t="n">
        <v>10597.6</v>
      </c>
      <c r="C2">
        <f>ROUNDUP(B2*1.25/1000,0)</f>
        <v/>
      </c>
      <c r="D2" s="4" t="n">
        <v>24.99</v>
      </c>
      <c r="E2" s="4">
        <f>C2*D2</f>
        <v/>
      </c>
      <c r="F2" s="13" t="inlineStr">
        <is>
          <t>https://us.store.bambulab.com/products/petg-hf</t>
        </is>
      </c>
    </row>
    <row r="3">
      <c r="A3" s="5" t="inlineStr">
        <is>
          <t>Total</t>
        </is>
      </c>
      <c r="E3" s="4">
        <f>SUM(E2:E2)</f>
        <v/>
      </c>
    </row>
  </sheetData>
  <hyperlinks>
    <hyperlink xmlns:r="http://schemas.openxmlformats.org/officeDocument/2006/relationships" ref="F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3"/>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14" customWidth="1" min="4" max="4"/>
    <col width="48" customWidth="1" min="5" max="5"/>
    <col width="22" customWidth="1" min="6" max="6"/>
    <col width="10" customWidth="1" min="7" max="7"/>
    <col width="10" customWidth="1" min="8" max="8"/>
    <col width="10" customWidth="1" min="9" max="9"/>
    <col width="10" customWidth="1" min="10" max="10"/>
    <col width="12" customWidth="1" min="11" max="11"/>
  </cols>
  <sheetData>
    <row r="1" ht="30" customHeight="1">
      <c r="A1" s="7" t="inlineStr">
        <is>
          <t>BOM file</t>
        </is>
      </c>
      <c r="B1" s="7" t="inlineStr">
        <is>
          <t>Status</t>
        </is>
      </c>
      <c r="C1" s="7" t="inlineStr">
        <is>
          <t>Ref</t>
        </is>
      </c>
      <c r="D1" s="7" t="inlineStr">
        <is>
          <t>Revision C ref</t>
        </is>
      </c>
      <c r="E1" s="7" t="inlineStr">
        <is>
          <t>Item</t>
        </is>
      </c>
      <c r="F1" s="7" t="inlineStr">
        <is>
          <t>Part number</t>
        </is>
      </c>
      <c r="G1" s="7" t="inlineStr">
        <is>
          <t>Qty rev C</t>
        </is>
      </c>
      <c r="H1" s="7" t="inlineStr">
        <is>
          <t>Qty rev D</t>
        </is>
      </c>
      <c r="I1" s="7" t="inlineStr">
        <is>
          <t>Qty change</t>
        </is>
      </c>
      <c r="J1" s="7" t="inlineStr">
        <is>
          <t>Unit USD</t>
        </is>
      </c>
      <c r="K1" s="7" t="inlineStr">
        <is>
          <t>Change USD</t>
        </is>
      </c>
    </row>
    <row r="2">
      <c r="A2" s="8" t="inlineStr">
        <is>
          <t>bom/electronics.csv</t>
        </is>
      </c>
      <c r="B2" s="8" t="inlineStr">
        <is>
          <t>added</t>
        </is>
      </c>
      <c r="C2" s="8" t="inlineStr">
        <is>
          <t>U10</t>
        </is>
      </c>
      <c r="D2" s="8" t="inlineStr"/>
      <c r="E2" s="9" t="inlineStr">
        <is>
          <t>Adafruit DRV8871 brushed DC motor driver breakout - 12 V centre-leg actuator (revision D)</t>
        </is>
      </c>
      <c r="F2" s="8" t="inlineStr">
        <is>
          <t>Adafruit 3190</t>
        </is>
      </c>
      <c r="G2" s="8" t="n">
        <v>0</v>
      </c>
      <c r="H2" s="8" t="n">
        <v>1</v>
      </c>
      <c r="I2" s="14">
        <f>H2-G2</f>
        <v/>
      </c>
      <c r="J2" s="4" t="n">
        <v>7.5</v>
      </c>
      <c r="K2" s="12">
        <f>I2*J2</f>
        <v/>
      </c>
    </row>
    <row r="3">
      <c r="A3" s="8" t="inlineStr">
        <is>
          <t>bom/electronics.csv</t>
        </is>
      </c>
      <c r="B3" s="8" t="inlineStr">
        <is>
          <t>added</t>
        </is>
      </c>
      <c r="C3" s="8" t="inlineStr">
        <is>
          <t>U11</t>
        </is>
      </c>
      <c r="D3" s="8" t="inlineStr"/>
      <c r="E3" s="9" t="inlineStr">
        <is>
          <t>4-channel bi-directional logic level converter, BSS138 - release servo signals 3.3 V to 5 V (revision D)</t>
        </is>
      </c>
      <c r="F3" s="8" t="inlineStr">
        <is>
          <t>Adafruit 757</t>
        </is>
      </c>
      <c r="G3" s="8" t="n">
        <v>0</v>
      </c>
      <c r="H3" s="8" t="n">
        <v>1</v>
      </c>
      <c r="I3" s="14">
        <f>H3-G3</f>
        <v/>
      </c>
      <c r="J3" s="4" t="n">
        <v>3.95</v>
      </c>
      <c r="K3" s="12">
        <f>I3*J3</f>
        <v/>
      </c>
    </row>
    <row r="4">
      <c r="A4" s="8" t="inlineStr">
        <is>
          <t>bom/electronics.csv</t>
        </is>
      </c>
      <c r="B4" s="8" t="inlineStr">
        <is>
          <t>added</t>
        </is>
      </c>
      <c r="C4" s="8" t="inlineStr">
        <is>
          <t>ACT1</t>
        </is>
      </c>
      <c r="D4" s="8" t="inlineStr"/>
      <c r="E4" s="9" t="inlineStr">
        <is>
          <t>Linear actuator with position potentiometer, 100 mm stroke, 12 V, 256:1 - centre leg and body tilt (revision D)</t>
        </is>
      </c>
      <c r="F4" s="8" t="inlineStr">
        <is>
          <t>Actuonix P16-100-256-12-P</t>
        </is>
      </c>
      <c r="G4" s="8" t="n">
        <v>0</v>
      </c>
      <c r="H4" s="8" t="n">
        <v>1</v>
      </c>
      <c r="I4" s="14">
        <f>H4-G4</f>
        <v/>
      </c>
      <c r="J4" s="4" t="n">
        <v>90</v>
      </c>
      <c r="K4" s="12">
        <f>I4*J4</f>
        <v/>
      </c>
    </row>
    <row r="5">
      <c r="A5" s="8" t="inlineStr">
        <is>
          <t>bom/electronics.csv</t>
        </is>
      </c>
      <c r="B5" s="8" t="inlineStr">
        <is>
          <t>added</t>
        </is>
      </c>
      <c r="C5" s="8" t="inlineStr">
        <is>
          <t>SW2-SW3</t>
        </is>
      </c>
      <c r="D5" s="8" t="inlineStr"/>
      <c r="E5" s="9" t="inlineStr">
        <is>
          <t>Miniature basic switch, hinge lever, SPDT, gold alloy crossbar contact - left and right shoulder lock sensors (revision D)</t>
        </is>
      </c>
      <c r="F5" s="8" t="inlineStr">
        <is>
          <t>Omron SS-01GL (DigiKey SW1067-ND)</t>
        </is>
      </c>
      <c r="G5" s="8" t="n">
        <v>0</v>
      </c>
      <c r="H5" s="8" t="n">
        <v>2</v>
      </c>
      <c r="I5" s="14">
        <f>H5-G5</f>
        <v/>
      </c>
      <c r="J5" s="4" t="n">
        <v>4.23</v>
      </c>
      <c r="K5" s="12">
        <f>I5*J5</f>
        <v/>
      </c>
    </row>
    <row r="6">
      <c r="A6" s="8" t="inlineStr">
        <is>
          <t>bom/electronics.csv</t>
        </is>
      </c>
      <c r="B6" s="8" t="inlineStr">
        <is>
          <t>added</t>
        </is>
      </c>
      <c r="C6" s="8" t="inlineStr">
        <is>
          <t>SV1-SV2</t>
        </is>
      </c>
      <c r="D6" s="8" t="inlineStr"/>
      <c r="E6" s="9" t="inlineStr">
        <is>
          <t>Standard size high torque metal gear servo, TowerPro MG995 - left and right lock release (revision D)</t>
        </is>
      </c>
      <c r="F6" s="8" t="inlineStr">
        <is>
          <t>Adafruit 1142</t>
        </is>
      </c>
      <c r="G6" s="8" t="n">
        <v>0</v>
      </c>
      <c r="H6" s="8" t="n">
        <v>2</v>
      </c>
      <c r="I6" s="14">
        <f>H6-G6</f>
        <v/>
      </c>
      <c r="J6" s="4" t="n">
        <v>19.95</v>
      </c>
      <c r="K6" s="12">
        <f>I6*J6</f>
        <v/>
      </c>
    </row>
    <row r="7">
      <c r="A7" s="8" t="inlineStr">
        <is>
          <t>bom/electronics.csv</t>
        </is>
      </c>
      <c r="B7" s="8" t="inlineStr">
        <is>
          <t>changed</t>
        </is>
      </c>
      <c r="C7" s="8" t="inlineStr">
        <is>
          <t>FH1-FH7</t>
        </is>
      </c>
      <c r="D7" s="8" t="inlineStr">
        <is>
          <t>FH1-FH6</t>
        </is>
      </c>
      <c r="E7" s="9" t="inlineStr">
        <is>
          <t>In-line ATO/ATC blade fuse holder, 20 A 32 V, 16 AWG leads</t>
        </is>
      </c>
      <c r="F7" s="8" t="inlineStr">
        <is>
          <t>Littelfuse FHAC0001ZXJ (DigiKey F3209-ND)</t>
        </is>
      </c>
      <c r="G7" s="8" t="n">
        <v>6</v>
      </c>
      <c r="H7" s="8" t="n">
        <v>7</v>
      </c>
      <c r="I7" s="14">
        <f>H7-G7</f>
        <v/>
      </c>
      <c r="J7" s="4" t="n">
        <v>7.37</v>
      </c>
      <c r="K7" s="12">
        <f>I7*J7</f>
        <v/>
      </c>
    </row>
    <row r="8">
      <c r="A8" s="8" t="inlineStr">
        <is>
          <t>bom/electronics.csv</t>
        </is>
      </c>
      <c r="B8" s="8" t="inlineStr">
        <is>
          <t>added</t>
        </is>
      </c>
      <c r="C8" s="8" t="inlineStr">
        <is>
          <t>F7</t>
        </is>
      </c>
      <c r="D8" s="8" t="inlineStr"/>
      <c r="E8" s="9" t="inlineStr">
        <is>
          <t>Fuse, ATO blade, 2 A 32 V - 12 V actuator driver U10 (revision D)</t>
        </is>
      </c>
      <c r="F8" s="8" t="inlineStr">
        <is>
          <t>Littelfuse 0287002.PXCN</t>
        </is>
      </c>
      <c r="G8" s="8" t="n">
        <v>0</v>
      </c>
      <c r="H8" s="8" t="n">
        <v>1</v>
      </c>
      <c r="I8" s="14">
        <f>H8-G8</f>
        <v/>
      </c>
      <c r="J8" s="4" t="n">
        <v>0.44</v>
      </c>
      <c r="K8" s="12">
        <f>I8*J8</f>
        <v/>
      </c>
    </row>
    <row r="9">
      <c r="A9" s="8" t="inlineStr">
        <is>
          <t>bom/electronics.csv</t>
        </is>
      </c>
      <c r="B9" s="8" t="inlineStr">
        <is>
          <t>added</t>
        </is>
      </c>
      <c r="C9" s="8" t="inlineStr">
        <is>
          <t>J13A-J13B</t>
        </is>
      </c>
      <c r="D9" s="8" t="inlineStr"/>
      <c r="E9" s="9" t="inlineStr">
        <is>
          <t>Servo extension cable, 12 in (300 mm), 22 AWG - release servos to the tray (revision D)</t>
        </is>
      </c>
      <c r="F9" s="8" t="inlineStr">
        <is>
          <t>Pololu 2184</t>
        </is>
      </c>
      <c r="G9" s="8" t="n">
        <v>0</v>
      </c>
      <c r="H9" s="8" t="n">
        <v>2</v>
      </c>
      <c r="I9" s="14">
        <f>H9-G9</f>
        <v/>
      </c>
      <c r="J9" s="4" t="n">
        <v>4.64</v>
      </c>
      <c r="K9" s="12">
        <f>I9*J9</f>
        <v/>
      </c>
    </row>
    <row r="10">
      <c r="A10" s="8" t="inlineStr">
        <is>
          <t>bom/electronics.csv</t>
        </is>
      </c>
      <c r="B10" s="8" t="inlineStr">
        <is>
          <t>added</t>
        </is>
      </c>
      <c r="C10" s="8" t="inlineStr">
        <is>
          <t>J14</t>
        </is>
      </c>
      <c r="D10" s="8" t="inlineStr"/>
      <c r="E10" s="9" t="inlineStr">
        <is>
          <t>STEMMA QT / Qwiic JST SH 4-pin to premium male headers cable, 150 mm - right lock switch to KB2040 GP12/GP13 (revision D)</t>
        </is>
      </c>
      <c r="F10" s="8" t="inlineStr">
        <is>
          <t>Adafruit 4209</t>
        </is>
      </c>
      <c r="G10" s="8" t="n">
        <v>0</v>
      </c>
      <c r="H10" s="8" t="n">
        <v>1</v>
      </c>
      <c r="I10" s="14">
        <f>H10-G10</f>
        <v/>
      </c>
      <c r="J10" s="4" t="n">
        <v>0.95</v>
      </c>
      <c r="K10" s="12">
        <f>I10*J10</f>
        <v/>
      </c>
    </row>
    <row r="11">
      <c r="A11" s="8" t="inlineStr">
        <is>
          <t>bom/electronics.csv</t>
        </is>
      </c>
      <c r="B11" s="8" t="inlineStr">
        <is>
          <t>changed</t>
        </is>
      </c>
      <c r="C11" s="8" t="inlineStr">
        <is>
          <t>R3</t>
        </is>
      </c>
      <c r="D11" s="8" t="inlineStr">
        <is>
          <t>R3</t>
        </is>
      </c>
      <c r="E11" s="9" t="inlineStr">
        <is>
          <t>Through-hole resistor, 15 k ohm 5% 1/4 W</t>
        </is>
      </c>
      <c r="F11" s="8" t="inlineStr">
        <is>
          <t>Stackpole CF14JT15K0</t>
        </is>
      </c>
      <c r="G11" s="8" t="n">
        <v>1</v>
      </c>
      <c r="H11" s="8" t="n">
        <v>2</v>
      </c>
      <c r="I11" s="14">
        <f>H11-G11</f>
        <v/>
      </c>
      <c r="J11" s="4" t="n">
        <v>0.1</v>
      </c>
      <c r="K11" s="12">
        <f>I11*J11</f>
        <v/>
      </c>
    </row>
    <row r="12">
      <c r="A12" s="8" t="inlineStr">
        <is>
          <t>bom/electronics.csv</t>
        </is>
      </c>
      <c r="B12" s="8" t="inlineStr">
        <is>
          <t>added</t>
        </is>
      </c>
      <c r="C12" s="8" t="inlineStr">
        <is>
          <t>R5</t>
        </is>
      </c>
      <c r="D12" s="8" t="inlineStr"/>
      <c r="E12" s="9" t="inlineStr">
        <is>
          <t>Through-hole resistor, 71.5 k ohm 1% 1/4 W metal film - DRV8871 current limit (revision D)</t>
        </is>
      </c>
      <c r="F12" s="8" t="inlineStr">
        <is>
          <t>Stackpole RNF14FTD71K5</t>
        </is>
      </c>
      <c r="G12" s="8" t="n">
        <v>0</v>
      </c>
      <c r="H12" s="8" t="n">
        <v>1</v>
      </c>
      <c r="I12" s="14">
        <f>H12-G12</f>
        <v/>
      </c>
      <c r="J12" s="4" t="n">
        <v>0.1</v>
      </c>
      <c r="K12" s="12">
        <f>I12*J12</f>
        <v/>
      </c>
    </row>
    <row r="13">
      <c r="A13" s="8" t="inlineStr">
        <is>
          <t>bom/electronics.csv</t>
        </is>
      </c>
      <c r="B13" s="8" t="inlineStr">
        <is>
          <t>added</t>
        </is>
      </c>
      <c r="C13" s="8" t="inlineStr">
        <is>
          <t>R6A-R6D</t>
        </is>
      </c>
      <c r="D13" s="8" t="inlineStr"/>
      <c r="E13" s="9" t="inlineStr">
        <is>
          <t>Through-hole resistor, 3.3 k ohm 5% 1/4 W - lock switch pull-ups (revision D)</t>
        </is>
      </c>
      <c r="F13" s="8" t="inlineStr">
        <is>
          <t>Stackpole CF14JT3K30</t>
        </is>
      </c>
      <c r="G13" s="8" t="n">
        <v>0</v>
      </c>
      <c r="H13" s="8" t="n">
        <v>4</v>
      </c>
      <c r="I13" s="14">
        <f>H13-G13</f>
        <v/>
      </c>
      <c r="J13" s="4" t="n">
        <v>0.1</v>
      </c>
      <c r="K13" s="12">
        <f>I13*J13</f>
        <v/>
      </c>
    </row>
    <row r="14">
      <c r="A14" s="8" t="inlineStr">
        <is>
          <t>bom/electronics.csv</t>
        </is>
      </c>
      <c r="B14" s="8" t="inlineStr">
        <is>
          <t>added</t>
        </is>
      </c>
      <c r="C14" s="8" t="inlineStr">
        <is>
          <t>R7</t>
        </is>
      </c>
      <c r="D14" s="8" t="inlineStr"/>
      <c r="E14" s="9" t="inlineStr">
        <is>
          <t>Through-hole resistor, 2.2 k ohm 5% 1/4 W - actuator pot top resistor (revision D)</t>
        </is>
      </c>
      <c r="F14" s="8" t="inlineStr">
        <is>
          <t>Stackpole CF14JT2K20</t>
        </is>
      </c>
      <c r="G14" s="8" t="n">
        <v>0</v>
      </c>
      <c r="H14" s="8" t="n">
        <v>1</v>
      </c>
      <c r="I14" s="14">
        <f>H14-G14</f>
        <v/>
      </c>
      <c r="J14" s="4" t="n">
        <v>0.1</v>
      </c>
      <c r="K14" s="12">
        <f>I14*J14</f>
        <v/>
      </c>
    </row>
    <row r="15">
      <c r="A15" s="8" t="inlineStr">
        <is>
          <t>bom/electronics.csv</t>
        </is>
      </c>
      <c r="B15" s="8" t="inlineStr">
        <is>
          <t>added</t>
        </is>
      </c>
      <c r="C15" s="8" t="inlineStr">
        <is>
          <t>R8</t>
        </is>
      </c>
      <c r="D15" s="8" t="inlineStr"/>
      <c r="E15" s="9" t="inlineStr">
        <is>
          <t>Through-hole resistor, 470 k ohm 5% 1/4 W - actuator wiper pull-down (revision D)</t>
        </is>
      </c>
      <c r="F15" s="8" t="inlineStr">
        <is>
          <t>Stackpole CF14JT470K</t>
        </is>
      </c>
      <c r="G15" s="8" t="n">
        <v>0</v>
      </c>
      <c r="H15" s="8" t="n">
        <v>1</v>
      </c>
      <c r="I15" s="14">
        <f>H15-G15</f>
        <v/>
      </c>
      <c r="J15" s="4" t="n">
        <v>0.1</v>
      </c>
      <c r="K15" s="12">
        <f>I15*J15</f>
        <v/>
      </c>
    </row>
    <row r="16">
      <c r="A16" s="8" t="inlineStr">
        <is>
          <t>bom/hardware.csv</t>
        </is>
      </c>
      <c r="B16" s="8" t="inlineStr">
        <is>
          <t>added</t>
        </is>
      </c>
      <c r="C16" s="8" t="inlineStr">
        <is>
          <t>H34</t>
        </is>
      </c>
      <c r="D16" s="8" t="inlineStr"/>
      <c r="E16" s="9" t="inlineStr">
        <is>
          <t>Indexing plunger, zinc die-cast, 6 mm pin, screw-on flange 35 x 26 x 12 mm - shoulder stance lock</t>
        </is>
      </c>
      <c r="F16" s="8" t="inlineStr">
        <is>
          <t>J.W. Winco GN 412-6-35-B-1</t>
        </is>
      </c>
      <c r="G16" s="8" t="n">
        <v>0</v>
      </c>
      <c r="H16" s="8" t="n">
        <v>2</v>
      </c>
      <c r="I16" s="14">
        <f>H16-G16</f>
        <v/>
      </c>
      <c r="J16" s="4" t="n">
        <v>11.77</v>
      </c>
      <c r="K16" s="12">
        <f>I16*J16</f>
        <v/>
      </c>
    </row>
    <row r="17">
      <c r="A17" s="8" t="inlineStr">
        <is>
          <t>bom/hardware.csv</t>
        </is>
      </c>
      <c r="B17" s="8" t="inlineStr">
        <is>
          <t>added</t>
        </is>
      </c>
      <c r="C17" s="8" t="inlineStr">
        <is>
          <t>H35</t>
        </is>
      </c>
      <c r="D17" s="8" t="inlineStr"/>
      <c r="E17" s="9" t="inlineStr">
        <is>
          <t>Receiver bushing, hardened, M12 x 1.5 x 10 mm body, 13 mm hex, 6.2 mm bore</t>
        </is>
      </c>
      <c r="F17" s="8" t="inlineStr">
        <is>
          <t>J.W. Winco GN 412.2-M12X1.5-B6.2</t>
        </is>
      </c>
      <c r="G17" s="8" t="n">
        <v>0</v>
      </c>
      <c r="H17" s="8" t="n">
        <v>4</v>
      </c>
      <c r="I17" s="14">
        <f>H17-G17</f>
        <v/>
      </c>
      <c r="J17" s="4" t="n">
        <v>5.66</v>
      </c>
      <c r="K17" s="12">
        <f>I17*J17</f>
        <v/>
      </c>
    </row>
    <row r="18">
      <c r="A18" s="8" t="inlineStr">
        <is>
          <t>bom/hardware.csv</t>
        </is>
      </c>
      <c r="B18" s="8" t="inlineStr">
        <is>
          <t>added</t>
        </is>
      </c>
      <c r="C18" s="8" t="inlineStr">
        <is>
          <t>H36</t>
        </is>
      </c>
      <c r="D18" s="8" t="inlineStr"/>
      <c r="E18" s="9" t="inlineStr">
        <is>
          <t>Hex bolt M8-1.25 x 35 mm, class 8.8 zinc - centre-leg pitch hinge</t>
        </is>
      </c>
      <c r="F18" s="8" t="inlineStr">
        <is>
          <t>Bolt Depot metric hex bolt 8 mm x 1.25 mm x 35 mm</t>
        </is>
      </c>
      <c r="G18" s="8" t="n">
        <v>0</v>
      </c>
      <c r="H18" s="8" t="n">
        <v>2</v>
      </c>
      <c r="I18" s="14">
        <f>H18-G18</f>
        <v/>
      </c>
      <c r="J18" s="4" t="n">
        <v>0.35</v>
      </c>
      <c r="K18" s="12">
        <f>I18*J18</f>
        <v/>
      </c>
    </row>
    <row r="19">
      <c r="A19" s="8" t="inlineStr">
        <is>
          <t>bom/hardware.csv</t>
        </is>
      </c>
      <c r="B19" s="8" t="inlineStr">
        <is>
          <t>added</t>
        </is>
      </c>
      <c r="C19" s="8" t="inlineStr">
        <is>
          <t>H37</t>
        </is>
      </c>
      <c r="D19" s="8" t="inlineStr"/>
      <c r="E19" s="9" t="inlineStr">
        <is>
          <t>Sintered bronze sleeve bushing 8 mm ID x 12 mm OD x 12 mm long, pack of 10</t>
        </is>
      </c>
      <c r="F19" s="8" t="inlineStr">
        <is>
          <t>uxcell 8x12x12 mm bronze bushing 10 pack</t>
        </is>
      </c>
      <c r="G19" s="8" t="n">
        <v>0</v>
      </c>
      <c r="H19" s="8" t="n">
        <v>1</v>
      </c>
      <c r="I19" s="14">
        <f>H19-G19</f>
        <v/>
      </c>
      <c r="J19" s="4" t="n">
        <v>9.99</v>
      </c>
      <c r="K19" s="12">
        <f>I19*J19</f>
        <v/>
      </c>
    </row>
    <row r="20">
      <c r="A20" s="8" t="inlineStr">
        <is>
          <t>bom/hardware.csv</t>
        </is>
      </c>
      <c r="B20" s="8" t="inlineStr">
        <is>
          <t>added</t>
        </is>
      </c>
      <c r="C20" s="8" t="inlineStr">
        <is>
          <t>H38</t>
        </is>
      </c>
      <c r="D20" s="8" t="inlineStr"/>
      <c r="E20" s="9" t="inlineStr">
        <is>
          <t>Linear ball bushing LM12LUU, 12 x 21 x 57 mm, sealed, two pack</t>
        </is>
      </c>
      <c r="F20" s="8" t="inlineStr">
        <is>
          <t>VXB LM12LUU two pack</t>
        </is>
      </c>
      <c r="G20" s="8" t="n">
        <v>0</v>
      </c>
      <c r="H20" s="8" t="n">
        <v>1</v>
      </c>
      <c r="I20" s="14">
        <f>H20-G20</f>
        <v/>
      </c>
      <c r="J20" s="4" t="n">
        <v>39.99</v>
      </c>
      <c r="K20" s="12">
        <f>I20*J20</f>
        <v/>
      </c>
    </row>
    <row r="21">
      <c r="A21" s="8" t="inlineStr">
        <is>
          <t>bom/hardware.csv</t>
        </is>
      </c>
      <c r="B21" s="8" t="inlineStr">
        <is>
          <t>added</t>
        </is>
      </c>
      <c r="C21" s="8" t="inlineStr">
        <is>
          <t>H39</t>
        </is>
      </c>
      <c r="D21" s="8" t="inlineStr"/>
      <c r="E21" s="9" t="inlineStr">
        <is>
          <t>Socket cap screw M4-0.7 x 25 mm, class 12.9 alloy - carriage bearing clamps</t>
        </is>
      </c>
      <c r="F21" s="8" t="inlineStr">
        <is>
          <t>Bolt Depot metric socket cap 4 mm x 0.7 mm x 25 mm</t>
        </is>
      </c>
      <c r="G21" s="8" t="n">
        <v>0</v>
      </c>
      <c r="H21" s="8" t="n">
        <v>4</v>
      </c>
      <c r="I21" s="14">
        <f>H21-G21</f>
        <v/>
      </c>
      <c r="J21" s="4" t="n">
        <v>0.25</v>
      </c>
      <c r="K21" s="12">
        <f>I21*J21</f>
        <v/>
      </c>
    </row>
    <row r="22">
      <c r="A22" s="8" t="inlineStr">
        <is>
          <t>bom/hardware.csv</t>
        </is>
      </c>
      <c r="B22" s="8" t="inlineStr">
        <is>
          <t>added</t>
        </is>
      </c>
      <c r="C22" s="8" t="inlineStr">
        <is>
          <t>H40</t>
        </is>
      </c>
      <c r="D22" s="8" t="inlineStr"/>
      <c r="E22" s="9" t="inlineStr">
        <is>
          <t>Hardened chrome steel linear shaft 12 mm x 200 mm - centre-leg guide</t>
        </is>
      </c>
      <c r="F22" s="8" t="inlineStr">
        <is>
          <t>VXB 12mm shaft hardened rod 200 mm</t>
        </is>
      </c>
      <c r="G22" s="8" t="n">
        <v>0</v>
      </c>
      <c r="H22" s="8" t="n">
        <v>2</v>
      </c>
      <c r="I22" s="14">
        <f>H22-G22</f>
        <v/>
      </c>
      <c r="J22" s="4" t="n">
        <v>19.99</v>
      </c>
      <c r="K22" s="12">
        <f>I22*J22</f>
        <v/>
      </c>
    </row>
    <row r="23">
      <c r="A23" s="8" t="inlineStr">
        <is>
          <t>bom/hardware.csv</t>
        </is>
      </c>
      <c r="B23" s="8" t="inlineStr">
        <is>
          <t>added</t>
        </is>
      </c>
      <c r="C23" s="8" t="inlineStr">
        <is>
          <t>H41</t>
        </is>
      </c>
      <c r="D23" s="8" t="inlineStr"/>
      <c r="E23" s="9" t="inlineStr">
        <is>
          <t>Socket cap screw M4-0.7 x 16 mm, class 12.9 alloy - GN 412 flanges</t>
        </is>
      </c>
      <c r="F23" s="8" t="inlineStr">
        <is>
          <t>Bolt Depot metric socket cap 4 mm x 0.7 mm x 16 mm</t>
        </is>
      </c>
      <c r="G23" s="8" t="n">
        <v>0</v>
      </c>
      <c r="H23" s="8" t="n">
        <v>4</v>
      </c>
      <c r="I23" s="14">
        <f>H23-G23</f>
        <v/>
      </c>
      <c r="J23" s="4" t="n">
        <v>0.22</v>
      </c>
      <c r="K23" s="12">
        <f>I23*J23</f>
        <v/>
      </c>
    </row>
    <row r="24">
      <c r="A24" s="8" t="inlineStr">
        <is>
          <t>bom/hardware.csv</t>
        </is>
      </c>
      <c r="B24" s="8" t="inlineStr">
        <is>
          <t>added</t>
        </is>
      </c>
      <c r="C24" s="8" t="inlineStr">
        <is>
          <t>H42</t>
        </is>
      </c>
      <c r="D24" s="8" t="inlineStr"/>
      <c r="E24" s="9" t="inlineStr">
        <is>
          <t>Socket cap screw M4-0.7 x 45 mm, class 12.9 alloy - P16 rod-eye pin</t>
        </is>
      </c>
      <c r="F24" s="8" t="inlineStr">
        <is>
          <t>Bolt Depot metric socket cap 4 mm x 0.7 mm x 45 mm</t>
        </is>
      </c>
      <c r="G24" s="8" t="n">
        <v>0</v>
      </c>
      <c r="H24" s="8" t="n">
        <v>1</v>
      </c>
      <c r="I24" s="14">
        <f>H24-G24</f>
        <v/>
      </c>
      <c r="J24" s="4" t="n">
        <v>0.35</v>
      </c>
      <c r="K24" s="12">
        <f>I24*J24</f>
        <v/>
      </c>
    </row>
    <row r="25">
      <c r="A25" s="8" t="inlineStr">
        <is>
          <t>bom/hardware.csv</t>
        </is>
      </c>
      <c r="B25" s="8" t="inlineStr">
        <is>
          <t>added</t>
        </is>
      </c>
      <c r="C25" s="8" t="inlineStr">
        <is>
          <t>H43</t>
        </is>
      </c>
      <c r="D25" s="8" t="inlineStr"/>
      <c r="E25" s="9" t="inlineStr">
        <is>
          <t>Set screw M4-0.7 x 8 mm, cup point, alloy - guide-shaft retention</t>
        </is>
      </c>
      <c r="F25" s="8" t="inlineStr">
        <is>
          <t>Bolt Depot metric socket set screw cup point 4 mm x 0.7 mm x 8 mm</t>
        </is>
      </c>
      <c r="G25" s="8" t="n">
        <v>0</v>
      </c>
      <c r="H25" s="8" t="n">
        <v>2</v>
      </c>
      <c r="I25" s="14">
        <f>H25-G25</f>
        <v/>
      </c>
      <c r="J25" s="4" t="n">
        <v>0.18</v>
      </c>
      <c r="K25" s="12">
        <f>I25*J25</f>
        <v/>
      </c>
    </row>
    <row r="26">
      <c r="A26" s="8" t="inlineStr">
        <is>
          <t>bom/hardware.csv</t>
        </is>
      </c>
      <c r="B26" s="8" t="inlineStr">
        <is>
          <t>added</t>
        </is>
      </c>
      <c r="C26" s="8" t="inlineStr">
        <is>
          <t>H44</t>
        </is>
      </c>
      <c r="D26" s="8" t="inlineStr"/>
      <c r="E26" s="9" t="inlineStr">
        <is>
          <t>Socket cap screw M4-0.7 x 60 mm, class 12.9 alloy - P16 fixed-eye pin</t>
        </is>
      </c>
      <c r="F26" s="8" t="inlineStr">
        <is>
          <t>Bolt Depot metric socket cap 4 mm x 0.7 mm x 60 mm</t>
        </is>
      </c>
      <c r="G26" s="8" t="n">
        <v>0</v>
      </c>
      <c r="H26" s="8" t="n">
        <v>1</v>
      </c>
      <c r="I26" s="14">
        <f>H26-G26</f>
        <v/>
      </c>
      <c r="J26" s="4" t="n">
        <v>0.45</v>
      </c>
      <c r="K26" s="12">
        <f>I26*J26</f>
        <v/>
      </c>
    </row>
    <row r="27">
      <c r="A27" s="8" t="inlineStr">
        <is>
          <t>bom/hardware.csv</t>
        </is>
      </c>
      <c r="B27" s="8" t="inlineStr">
        <is>
          <t>added</t>
        </is>
      </c>
      <c r="C27" s="8" t="inlineStr">
        <is>
          <t>H45</t>
        </is>
      </c>
      <c r="D27" s="8" t="inlineStr"/>
      <c r="E27" s="9" t="inlineStr">
        <is>
          <t>Nylon-insert lock nut M4-0.7, zinc</t>
        </is>
      </c>
      <c r="F27" s="8" t="inlineStr">
        <is>
          <t>Bolt Depot metric nylon insert lock nut 4 mm x 0.7 mm</t>
        </is>
      </c>
      <c r="G27" s="8" t="n">
        <v>0</v>
      </c>
      <c r="H27" s="8" t="n">
        <v>2</v>
      </c>
      <c r="I27" s="14">
        <f>H27-G27</f>
        <v/>
      </c>
      <c r="J27" s="4" t="n">
        <v>0.08</v>
      </c>
      <c r="K27" s="12">
        <f>I27*J27</f>
        <v/>
      </c>
    </row>
    <row r="28">
      <c r="A28" s="8" t="inlineStr">
        <is>
          <t>bom/hardware.csv</t>
        </is>
      </c>
      <c r="B28" s="8" t="inlineStr">
        <is>
          <t>removed</t>
        </is>
      </c>
      <c r="C28" s="8" t="inlineStr"/>
      <c r="D28" s="8" t="inlineStr">
        <is>
          <t>H08</t>
        </is>
      </c>
      <c r="E28" s="9" t="inlineStr">
        <is>
          <t>Dowel pins 6 x 30 mm, steel, pack of 50</t>
        </is>
      </c>
      <c r="F28" s="8" t="inlineStr">
        <is>
          <t>Fabory 6x30 dowel pin 50 pack</t>
        </is>
      </c>
      <c r="G28" s="8" t="n">
        <v>1</v>
      </c>
      <c r="H28" s="8" t="n">
        <v>0</v>
      </c>
      <c r="I28" s="14">
        <f>H28-G28</f>
        <v/>
      </c>
      <c r="J28" s="4" t="n">
        <v>34.9</v>
      </c>
      <c r="K28" s="12">
        <f>I28*J28</f>
        <v/>
      </c>
    </row>
    <row r="29">
      <c r="E29" s="5" t="inlineStr">
        <is>
          <t>Purchased change total</t>
        </is>
      </c>
      <c r="I29" s="5">
        <f>SUM(I2:I28)</f>
        <v/>
      </c>
      <c r="K29" s="6">
        <f>SUM(K2:K28)</f>
        <v/>
      </c>
    </row>
    <row r="31">
      <c r="A31" s="5" t="inlineStr">
        <is>
          <t>Printed parts</t>
        </is>
      </c>
    </row>
    <row r="32">
      <c r="A32" s="15" t="inlineStr">
        <is>
          <t>scripts/parts.json</t>
        </is>
      </c>
      <c r="B32" s="15" t="inlineStr">
        <is>
          <t>added</t>
        </is>
      </c>
      <c r="C32" s="15" t="inlineStr">
        <is>
          <t>leg_carriage</t>
        </is>
      </c>
      <c r="D32" s="15" t="inlineStr"/>
      <c r="E32" s="16" t="inlineStr">
        <is>
          <t>Revision D centre-leg carriage: two LM12LUU seats, pitch-hinge cheeks, P16 rod-eye web. Added because the pitch hinge must join the guide bearings, the actuator eye and the housing and no purchased joint does all three</t>
        </is>
      </c>
      <c r="F32" s="15" t="inlineStr"/>
      <c r="G32" s="15" t="n">
        <v>0</v>
      </c>
      <c r="H32" s="15" t="n">
        <v>1</v>
      </c>
      <c r="I32">
        <f>H32-G32</f>
        <v/>
      </c>
    </row>
    <row r="33">
      <c r="A33" s="15" t="inlineStr">
        <is>
          <t>scripts/parts.json</t>
        </is>
      </c>
      <c r="B33" s="15" t="inlineStr">
        <is>
          <t>changed</t>
        </is>
      </c>
      <c r="C33" s="15" t="inlineStr">
        <is>
          <t>leg_center</t>
        </is>
      </c>
      <c r="D33" s="15" t="inlineStr"/>
      <c r="E33" s="16" t="inlineStr">
        <is>
          <t>Revision D centre-leg housing: caster bearings, pitch-hinge nut pockets, heel and toe stop faces</t>
        </is>
      </c>
      <c r="F33" s="15" t="inlineStr"/>
      <c r="G33" s="15" t="n">
        <v>1</v>
      </c>
      <c r="H33" s="15" t="n">
        <v>1</v>
      </c>
      <c r="I33">
        <f>H33-G33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40" customWidth="1" min="3" max="3"/>
    <col width="22" customWidth="1" min="4" max="4"/>
    <col width="14" customWidth="1" min="5" max="5"/>
    <col width="16" customWidth="1" min="6" max="6"/>
    <col width="60" customWidth="1" min="7" max="7"/>
    <col width="40" customWidth="1" min="8" max="8"/>
  </cols>
  <sheetData>
    <row r="1" ht="30" customHeight="1">
      <c r="A1" s="7" t="inlineStr">
        <is>
          <t>BOM file</t>
        </is>
      </c>
      <c r="B1" s="7" t="inlineStr">
        <is>
          <t>Ref</t>
        </is>
      </c>
      <c r="C1" s="7" t="inlineStr">
        <is>
          <t>Item</t>
        </is>
      </c>
      <c r="D1" s="7" t="inlineStr">
        <is>
          <t>Part number</t>
        </is>
      </c>
      <c r="E1" s="7" t="inlineStr">
        <is>
          <t>Supplier</t>
        </is>
      </c>
      <c r="F1" s="7" t="inlineStr">
        <is>
          <t>Status</t>
        </is>
      </c>
      <c r="G1" s="7" t="inlineStr">
        <is>
          <t>What the supplier page read</t>
        </is>
      </c>
      <c r="H1" s="7" t="inlineStr">
        <is>
          <t>Source URL</t>
        </is>
      </c>
    </row>
    <row r="2">
      <c r="A2" s="15" t="inlineStr">
        <is>
          <t>bom/electronics.csv</t>
        </is>
      </c>
      <c r="B2" s="15" t="inlineStr">
        <is>
          <t>LED3-LED5</t>
        </is>
      </c>
      <c r="C2" s="16" t="inlineStr">
        <is>
          <t>Diffused 8 mm through-hole NeoPixels, pack of 5 - holoprojectors HP1, HP2, HP3</t>
        </is>
      </c>
      <c r="D2" s="15" t="inlineStr">
        <is>
          <t>Adafruit 1734</t>
        </is>
      </c>
      <c r="E2" s="15" t="inlineStr">
        <is>
          <t>Adafruit</t>
        </is>
      </c>
      <c r="F2" s="15" t="inlineStr">
        <is>
          <t>out of stock</t>
        </is>
      </c>
      <c r="G2" s="16" t="inlineStr">
        <is>
          <t>Page reads Out of stock on 2026-09-12</t>
        </is>
      </c>
      <c r="H2" s="17" t="inlineStr">
        <is>
          <t>https://www.adafruit.com/product/1734</t>
        </is>
      </c>
    </row>
    <row r="3">
      <c r="A3" s="15" t="inlineStr">
        <is>
          <t>bom/electronics.csv</t>
        </is>
      </c>
      <c r="B3" s="15" t="inlineStr">
        <is>
          <t>LS1</t>
        </is>
      </c>
      <c r="C3" s="16" t="inlineStr">
        <is>
          <t>Speaker, 3 inch, 4 ohm 3 W - behind the front vent</t>
        </is>
      </c>
      <c r="D3" s="15" t="inlineStr">
        <is>
          <t>Adafruit 1314</t>
        </is>
      </c>
      <c r="E3" s="15" t="inlineStr">
        <is>
          <t>Adafruit</t>
        </is>
      </c>
      <c r="F3" s="15" t="inlineStr">
        <is>
          <t>out of stock</t>
        </is>
      </c>
      <c r="G3" s="16" t="inlineStr">
        <is>
          <t>Page reads Out of stock on 2026-09-12</t>
        </is>
      </c>
      <c r="H3" s="17" t="inlineStr">
        <is>
          <t>https://www.adafruit.com/product/1314</t>
        </is>
      </c>
    </row>
    <row r="4">
      <c r="A4" s="15" t="inlineStr">
        <is>
          <t>bom/electronics.csv</t>
        </is>
      </c>
      <c r="B4" s="15" t="inlineStr">
        <is>
          <t>W1-W14</t>
        </is>
      </c>
      <c r="C4" s="16" t="inlineStr">
        <is>
          <t>Orange wheel for TT motor, 63 x 29 mm</t>
        </is>
      </c>
      <c r="D4" s="15" t="inlineStr">
        <is>
          <t>Adafruit 3766</t>
        </is>
      </c>
      <c r="E4" s="15" t="inlineStr">
        <is>
          <t>Adafruit</t>
        </is>
      </c>
      <c r="F4" s="15" t="inlineStr">
        <is>
          <t>out of stock</t>
        </is>
      </c>
      <c r="G4" s="16" t="inlineStr">
        <is>
          <t>Page reads Out of stock on 2026-09-12</t>
        </is>
      </c>
      <c r="H4" s="17" t="inlineStr">
        <is>
          <t>https://www.adafruit.com/product/3766</t>
        </is>
      </c>
    </row>
    <row r="5">
      <c r="A5" s="15" t="inlineStr">
        <is>
          <t>bom/electronics.csv</t>
        </is>
      </c>
      <c r="B5" s="15" t="inlineStr">
        <is>
          <t>ACT1</t>
        </is>
      </c>
      <c r="C5" s="16" t="inlineStr">
        <is>
          <t>Linear actuator with position potentiometer, 100 mm stroke, 12 V, 256:1 - centre leg and body tilt (revision D)</t>
        </is>
      </c>
      <c r="D5" s="15" t="inlineStr">
        <is>
          <t>Actuonix P16-100-256-12-P</t>
        </is>
      </c>
      <c r="E5" s="15" t="inlineStr">
        <is>
          <t>Actuonix</t>
        </is>
      </c>
      <c r="F5" s="15" t="inlineStr">
        <is>
          <t>back order</t>
        </is>
      </c>
      <c r="G5" s="16" t="inlineStr">
        <is>
          <t>Page reads Back Order on 2026-09-12</t>
        </is>
      </c>
      <c r="H5" s="17" t="inlineStr">
        <is>
          <t>https://www.actuonix.com/p16-100-256-12-p</t>
        </is>
      </c>
    </row>
    <row r="6">
      <c r="A6" s="15" t="inlineStr">
        <is>
          <t>bom/electronics.csv</t>
        </is>
      </c>
      <c r="B6" s="15" t="inlineStr">
        <is>
          <t>SV1-SV2</t>
        </is>
      </c>
      <c r="C6" s="16" t="inlineStr">
        <is>
          <t>Standard size high torque metal gear servo, TowerPro MG995 - left and right lock release (revision D)</t>
        </is>
      </c>
      <c r="D6" s="15" t="inlineStr">
        <is>
          <t>Adafruit 1142</t>
        </is>
      </c>
      <c r="E6" s="15" t="inlineStr">
        <is>
          <t>Adafruit</t>
        </is>
      </c>
      <c r="F6" s="15" t="inlineStr">
        <is>
          <t>out of stock</t>
        </is>
      </c>
      <c r="G6" s="16" t="inlineStr">
        <is>
          <t>Page reads Out of stock on 2026-09-12</t>
        </is>
      </c>
      <c r="H6" s="17" t="inlineStr">
        <is>
          <t>https://www.adafruit.com/product/1142</t>
        </is>
      </c>
    </row>
    <row r="7">
      <c r="A7" s="15" t="inlineStr">
        <is>
          <t>bom/electronics.csv</t>
        </is>
      </c>
      <c r="B7" s="15" t="inlineStr">
        <is>
          <t>J13A-J13B</t>
        </is>
      </c>
      <c r="C7" s="16" t="inlineStr">
        <is>
          <t>Servo extension cable, 12 in (300 mm), 22 AWG - release servos to the tray (revision D)</t>
        </is>
      </c>
      <c r="D7" s="15" t="inlineStr">
        <is>
          <t>Pololu 2184</t>
        </is>
      </c>
      <c r="E7" s="15" t="inlineStr">
        <is>
          <t>Pololu</t>
        </is>
      </c>
      <c r="F7" s="15" t="inlineStr">
        <is>
          <t>out of stock</t>
        </is>
      </c>
      <c r="G7" s="16" t="inlineStr">
        <is>
          <t>Adafruit 972 (30 cm) reads Out of stock on 2026-09-12</t>
        </is>
      </c>
      <c r="H7" s="17" t="inlineStr">
        <is>
          <t>https://www.pololu.com/product/2184</t>
        </is>
      </c>
    </row>
    <row r="8">
      <c r="A8" s="15" t="inlineStr">
        <is>
          <t>bom/electronics.csv</t>
        </is>
      </c>
      <c r="B8" s="15" t="inlineStr">
        <is>
          <t>R1</t>
        </is>
      </c>
      <c r="C8" s="16" t="inlineStr">
        <is>
          <t>Through-hole resistors, 100 ohm 5% 1/4 W, pack of 25</t>
        </is>
      </c>
      <c r="D8" s="15" t="inlineStr">
        <is>
          <t>Adafruit 4293</t>
        </is>
      </c>
      <c r="E8" s="15" t="inlineStr">
        <is>
          <t>Adafruit</t>
        </is>
      </c>
      <c r="F8" s="15" t="inlineStr">
        <is>
          <t>out of stock</t>
        </is>
      </c>
      <c r="G8" s="16" t="inlineStr">
        <is>
          <t>Page reads Out of stock on 2026-09-12</t>
        </is>
      </c>
      <c r="H8" s="17" t="inlineStr">
        <is>
          <t>https://www.adafruit.com/product/4293</t>
        </is>
      </c>
    </row>
    <row r="9">
      <c r="A9" s="15" t="inlineStr">
        <is>
          <t>bom/electronics.csv</t>
        </is>
      </c>
      <c r="B9" s="15" t="inlineStr">
        <is>
          <t>R4</t>
        </is>
      </c>
      <c r="C9" s="16" t="inlineStr">
        <is>
          <t>Through-hole resistors, 10 k ohm 5% 1/4 W, pack of 25</t>
        </is>
      </c>
      <c r="D9" s="15" t="inlineStr">
        <is>
          <t>Adafruit 2784</t>
        </is>
      </c>
      <c r="E9" s="15" t="inlineStr">
        <is>
          <t>Adafruit</t>
        </is>
      </c>
      <c r="F9" s="15" t="inlineStr">
        <is>
          <t>out of stock</t>
        </is>
      </c>
      <c r="G9" s="16" t="inlineStr">
        <is>
          <t>Page reads Out of stock on 2026-09-12</t>
        </is>
      </c>
      <c r="H9" s="17" t="inlineStr">
        <is>
          <t>https://www.adafruit.com/product/2784</t>
        </is>
      </c>
    </row>
    <row r="10">
      <c r="A10" s="15" t="inlineStr">
        <is>
          <t>bom/electronics.csv</t>
        </is>
      </c>
      <c r="B10" s="15" t="inlineStr">
        <is>
          <t>SD1</t>
        </is>
      </c>
      <c r="C10" s="16" t="inlineStr">
        <is>
          <t>microSD card, 32 GB, A2 class - Raspberry Pi OS</t>
        </is>
      </c>
      <c r="D10" s="15" t="inlineStr">
        <is>
          <t>Official Raspberry Pi A2 32 GB (Adafruit 6010)</t>
        </is>
      </c>
      <c r="E10" s="15" t="inlineStr">
        <is>
          <t>Adafruit</t>
        </is>
      </c>
      <c r="F10" s="15" t="inlineStr">
        <is>
          <t>no longer stocked</t>
        </is>
      </c>
      <c r="G10" s="16" t="inlineStr">
        <is>
          <t>Allowance: the Adafruit listing reads No longer stocked on 2026-09-12</t>
        </is>
      </c>
      <c r="H10" s="17" t="inlineStr">
        <is>
          <t>https://www.adafruit.com/product/6010</t>
        </is>
      </c>
    </row>
    <row r="11">
      <c r="A11" s="15" t="inlineStr">
        <is>
          <t>bom/hardware.csv</t>
        </is>
      </c>
      <c r="B11" s="15" t="inlineStr">
        <is>
          <t>H25</t>
        </is>
      </c>
      <c r="C11" s="16" t="inlineStr">
        <is>
          <t>Nylon machine screw and stand-off set, M2.5 thread, 380 pieces</t>
        </is>
      </c>
      <c r="D11" s="15" t="inlineStr">
        <is>
          <t>Adafruit 3299</t>
        </is>
      </c>
      <c r="E11" s="15" t="inlineStr">
        <is>
          <t>Adafruit</t>
        </is>
      </c>
      <c r="F11" s="15" t="inlineStr">
        <is>
          <t>out of stock</t>
        </is>
      </c>
      <c r="G11" s="16" t="inlineStr">
        <is>
          <t>Page reads Out of stock on 2026-09-12</t>
        </is>
      </c>
      <c r="H11" s="17" t="inlineStr">
        <is>
          <t>https://www.adafruit.com/product/3299</t>
        </is>
      </c>
    </row>
  </sheetData>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22" customWidth="1" min="1" max="1"/>
    <col width="70" customWidth="1" min="2" max="2"/>
    <col width="70" customWidth="1" min="3" max="3"/>
  </cols>
  <sheetData>
    <row r="1" ht="30" customHeight="1">
      <c r="A1" s="7" t="inlineStr">
        <is>
          <t>Supplier</t>
        </is>
      </c>
      <c r="B1" s="7" t="inlineStr">
        <is>
          <t>Items</t>
        </is>
      </c>
      <c r="C1" s="7" t="inlineStr">
        <is>
          <t>URLs</t>
        </is>
      </c>
    </row>
    <row r="2">
      <c r="A2" t="inlineStr">
        <is>
          <t>Actuonix</t>
        </is>
      </c>
      <c r="B2" s="16" t="inlineStr">
        <is>
          <t>Linear actuator with position potentiometer, 100 mm stroke, 12 V, 256:1 - centre leg and body tilt (revision D)</t>
        </is>
      </c>
      <c r="C2" s="16" t="inlineStr">
        <is>
          <t>https://www.actuonix.com/p16-100-256-12-p</t>
        </is>
      </c>
    </row>
    <row r="3">
      <c r="A3" t="inlineStr">
        <is>
          <t>Adafruit</t>
        </is>
      </c>
      <c r="B3" s="16" t="inlineStr">
        <is>
          <t>Raspberry Pi 4 Model B, 4 GB - control server, Wi-Fi, head displays, audio; Adafruit KB2040 (RP2040) - motor and NeoPixel controller; DRV8833 dual H-bridge - driver 1, left foot (lf-front, lf-rear); DRV8833 dual H-bridge - driver 2, right foot (rf-front, rf-rear); DRV8833 dual H-bridge - driver 3, centre foot (cf-front, cf-rear); DRV8833 dual H-bridge - driver 4, head friction drive (channel A only); PAM8302 mono class D amplifier, 2.5 W into 4 ohm - dome and body sound; ADS1115 16 bit 4 channel ADC, STEMMA QT - battery voltage sense; Adafruit DRV8871 brushed DC motor driver breakout - 12 V centre-leg actuator (revision D); 4-channel bi-directional logic level converter, BSS138 - release servo signals 3.3 V to 5 V (revision D); Slip ring, 12 wire, 2 A per wire - dome power and signals; Mini 0.8 inch 8x8 LED matrix with I2C backpack, yellow-green - front logic, upper window; Mini 0.8 inch 8x8 LED matrix with I2C backpack, yellow-green - front logic, lower window; Mini 0.8 inch 8x8 LED matrix with I2C backpack, red - rear logic, left half; Mini 0.8 inch 8x8 LED matrix with I2C backpack, red - rear logic, right half; 1.28 inch 240x240 round TFT, GC9A01A, EYESPI - radar eye; NeoPixel Jewel, 7 x 5050 RGB - front PSI; NeoPixel Jewel, 7 x 5050 RGB - rear PSI; Diffused 8 mm through-hole NeoPixels, pack of 5 - holoprojectors HP1, HP2, HP3; Speaker, 3 inch, 4 ohm 3 W - behind the front vent; TT gearmotor 1:48, 3-6 V - left foot, front; TT gearmotor 1:48, 3-6 V - left foot, rear; TT gearmotor 1:48, 3-6 V - right foot, front; TT gearmotor 1:48, 3-6 V - right foot, rear; TT gearmotor 1:48, 3-6 V - centre foot, front; TT gearmotor 1:48, 3-6 V - centre foot, rear; TT gearmotor 1:48, 3-6 V - head friction drive; Orange wheel for TT motor, 63 x 29 mm; Standard size high torque metal gear servo, TowerPro MG995 - left and right lock release (revision D); JST-XH 2 pin cable matching pair, 2.5 mm pitch, 200 mm; USB A to USB C cable, 1 m - Pi to KB2040 power and serial; USB Type C plug breakout - 5 V feed into the Pi USB-C power input; STEMMA QT / Qwiic JST SH 4-pin to premium male headers cable, 150 mm - right lock switch to KB2040 GP12/GP13 (revision D); Through-hole resistors, 100 ohm 5% 1/4 W, pack of 25; Through-hole resistors, 100 k ohm 5% 1/4 W, pack of 25; Through-hole resistors, 10 k ohm 5% 1/4 W, pack of 25; microSD card, 32 GB, A2 class - Raspberry Pi OS; Hall effect switch US5881LUA - optional dome index (home) sensor; Heat-set inserts M3 x 4 mm, brass, pack of 50; Nylon machine screw and stand-off set, M2.5 thread, 380 pieces</t>
        </is>
      </c>
      <c r="C3" s="16" t="inlineStr">
        <is>
          <t>https://www.adafruit.com/product/1085
https://www.adafruit.com/product/1142
https://www.adafruit.com/product/1195
https://www.adafruit.com/product/1314
https://www.adafruit.com/product/158
https://www.adafruit.com/product/1734
https://www.adafruit.com/product/2130
https://www.adafruit.com/product/2226
https://www.adafruit.com/product/2784
https://www.adafruit.com/product/2787
https://www.adafruit.com/product/3190
https://www.adafruit.com/product/3297
https://www.adafruit.com/product/3299
https://www.adafruit.com/product/3766
https://www.adafruit.com/product/3777
https://www.adafruit.com/product/4209
https://www.adafruit.com/product/4255
https://www.adafruit.com/product/4293
https://www.adafruit.com/product/4296
https://www.adafruit.com/product/4474
https://www.adafruit.com/product/4872
https://www.adafruit.com/product/5302
https://www.adafruit.com/product/5978
https://www.adafruit.com/product/6010
https://www.adafruit.com/product/6178
https://www.adafruit.com/product/757
https://www.adafruit.com/product/870
https://www.adafruit.com/product/872</t>
        </is>
      </c>
    </row>
    <row r="4">
      <c r="A4" t="inlineStr">
        <is>
          <t>Amazon</t>
        </is>
      </c>
      <c r="B4" s="16" t="inlineStr">
        <is>
          <t>Ball bearings 6001-2RS, 12 x 28 x 8 mm, pack of 10; Nylon-insert lock nuts M12-1.75, DIN 985, stainless, pack of 20; Flanged bronze bushing, 12 mm bore x 16 mm OD x 20 mm, pack of 2; Nylon-insert lock nuts M8-1.25, pack of 50; Heat-set inserts M5 x 9.5 mm, brass, pack of 50 (ruthex RX-M5x9.5); Socket cap screw M5 x 0.8 x 40 mm, stainless - head-drive tensioner; Knurled thumb nuts M5-0.8, 304 stainless, pack of 10; Compression spring 10 mm OD x 25 mm free length, 0.6 mm wire, 304 stainless, pack of 5; Socket cap screws M4 x 0.7 x 12 mm, 12.9 alloy, pack of 50; Heat-set inserts M4 x 8.1 mm, brass, pack of 50 (ruthex RX-M4x8.1); Socket and button head screw, nut and washer kit, M2 / M3 / M4, 1080 pieces; Nylon standoff kit M3, 260 pieces, 6-20 mm; Hook-and-loop cinch straps, 25 mm x 400 mm, pack of 6; Cable ties, 8 inch, pack of 100; Adhesive cable-tie mounts, 3/4 inch, pack of 100; Closed-cell foam tape, 3/4 x 3/8 inch x 17 ft; Sintered bronze sleeve bushing 8 mm ID x 12 mm OD x 12 mm long, pack of 10</t>
        </is>
      </c>
      <c r="C4" s="16" t="inlineStr">
        <is>
          <t>https://us.amazon.com/Compression-Spring-Stainless-Length-Silver/dp/B0DK9C5YT5
https://www.amazon.com/dp/B00TRUC19C
https://www.amazon.com/dp/B01HDR72Q2
https://www.amazon.com/dp/B074TFLBFQ
https://www.amazon.com/dp/B07GVQ8G23
https://www.amazon.com/dp/B07YSV66Y5
https://www.amazon.com/dp/B07YSVXWS8
https://www.amazon.com/dp/B0877BD2SH
https://www.amazon.com/dp/B09PJ8L58G
https://www.amazon.com/dp/B0CGDV5C3F
https://www.amazon.com/dp/B0CHMKL1DF
https://www.amazon.com/dp/B0D7PWCDWK
https://www.amazon.com/dp/B0DY4HF7N8
https://www.amazon.com/dp/B0F1YGKBSL
https://www.amazon.com/dp/B0F43TNSM2
https://www.amazon.com/dp/B0F8GZP628
https://www.amazon.com/s?k=uxcell+sintered+bronze+bushing+8mm+bore+12mm+OD+12mm+length</t>
        </is>
      </c>
    </row>
    <row r="5">
      <c r="A5" t="inlineStr">
        <is>
          <t>BNTECHGO</t>
        </is>
      </c>
      <c r="B5" s="16" t="inlineStr">
        <is>
          <t>Silicone wire, 16 AWG, red and black, 25 ft each colour; Silicone wire, 22 AWG, six colours, 30 ft each</t>
        </is>
      </c>
      <c r="C5" s="16" t="inlineStr">
        <is>
          <t>https://bntechgo.com/bntechgo-16-gauge-silicone-wire-kit-ultra-flexible-50-ft-black-and-red-each-color-25-ft-high-temp-200-c-600v-16-awg-silicone-wire-252-strands-of-tinned-copper-wire-stranded-wire-stranded-wire-for-model-battery/
https://bntechgo.com/bntechgo-22-gauge-silicone-wire-kit-ultra-flexible-6-colors-each-30-ft-high-temp-200-c-600v-22-awg-silicone-wire-60-strands-of-tinned-copper-wire-stranded-wire-for-model-battery/</t>
        </is>
      </c>
    </row>
    <row r="6">
      <c r="A6" t="inlineStr">
        <is>
          <t>Bambu Lab US store</t>
        </is>
      </c>
      <c r="B6" s="16" t="inlineStr">
        <is>
          <t>Filament, Bambu PETG Basic, 1.75 mm, 1 kg - structural prints; Filament, Bambu PETG-CF, 1.75 mm, 1 kg - shoulder bosses (optional); Filament, Bambu PLA Basic, 1.75 mm, 1 kg - dome (optional finish)</t>
        </is>
      </c>
      <c r="C6" s="16" t="inlineStr">
        <is>
          <t>https://us.store.bambulab.com/products/petg-basic
https://us.store.bambulab.com/products/petg-cf
https://us.store.bambulab.com/products/pla-basic-filament</t>
        </is>
      </c>
    </row>
    <row r="7">
      <c r="A7" t="inlineStr">
        <is>
          <t>Bolt Depot</t>
        </is>
      </c>
      <c r="B7" s="16" t="inlineStr">
        <is>
          <t>Hex bolt M12-1.75 x 130 mm, class 8.8 zinc - shoulder pivot; Fender washer M12, 12 x 37 mm, zinc; Flat washer M12, zinc; Threaded rod M8 x 1.25, 1 m, zinc steel; Hex nut M8-1.25, class 8.8 zinc; Flat washer M8, zinc; Fender washer M8, 8 x 24 mm, zinc; Socket cap screw M5 x 0.8 x 12 mm, stainless 18-8; Hex nut M4-0.7, class 8.8 zinc; Flat washer M4, zinc; Hex bolt M8-1.25 x 35 mm, class 8.8 zinc - centre-leg pitch hinge; Socket cap screw M4-0.7 x 25 mm, class 12.9 alloy - carriage bearing clamps; Socket cap screw M4-0.7 x 16 mm, class 12.9 alloy - GN 412 flanges; Socket cap screw M4-0.7 x 45 mm, class 12.9 alloy - P16 rod-eye pin; Set screw M4-0.7 x 8 mm, cup point, alloy - guide-shaft retention; Socket cap screw M4-0.7 x 60 mm, class 12.9 alloy - P16 fixed-eye pin; Nylon-insert lock nut M4-0.7, zinc</t>
        </is>
      </c>
      <c r="C7" s="16" t="inlineStr">
        <is>
          <t>https://boltdepot.com/Metric_hex_bolts_Zinc_plated_class_8.8_steel_8mm_x_1.25mm.aspx
https://boltdepot.com/Metric_nylon_insert_lock_nuts_Zinc_plated_steel_4mm_x_0.7mm.aspx
https://boltdepot.com/Metric_socket_cap_Class_12.9_black_alloy_steel_4mm_x_0.7mm.aspx
https://boltdepot.com/Metric_socket_cap_Stainless_steel_18-8_(A-2)_5mm_x_0.8mm
https://boltdepot.com/Metric_socket_set_screws_cup_point_Alloy_steel_4mm_x_0.7mm.aspx
https://boltdepot.com/Product-List?Units=Metric&amp;Category=Nuts&amp;Subcategory=Hex_nuts&amp;F_Diameter=4mm&amp;F_Thread_pitch=0.7mm&amp;Material=Steel&amp;Plating=Zinc
https://boltdepot.com/Product-List?Units=Metric&amp;Category=Nuts&amp;Subcategory=Hex_nuts&amp;F_Diameter=8mm&amp;F_Thread_pitch=1.25mm&amp;Material=Steel&amp;Plating=Zinc&amp;Grade=Class_8.8
https://boltdepot.com/Product-List?Units=Metric&amp;Category=Washers&amp;Subcategory=Fender_washers&amp;F_Size=12mm&amp;Material=Steel&amp;Plating=Zinc
https://boltdepot.com/Product-List?Units=Metric&amp;Category=Washers&amp;Subcategory=Fender_washers&amp;F_Size=8mm&amp;Material=Steel&amp;Plating=Zinc
https://boltdepot.com/Product-List?Units=Metric&amp;Category=Washers&amp;Subcategory=Flat_washers&amp;F_Size=12mm&amp;Material=Steel&amp;Plating=Zinc
https://boltdepot.com/Product-List?Units=Metric&amp;Category=Washers&amp;Subcategory=Flat_washers&amp;F_Size=4mm&amp;Material=Steel&amp;Plating=Zinc
https://boltdepot.com/Product-List?Units=Metric&amp;Category=Washers&amp;Subcategory=Flat_washers&amp;F_Size=8mm&amp;Material=Steel&amp;Plating=Zinc
https://boltdepot.com/Threaded_rod_Zinc_plated_steel_8mm_x_1.25mm
https://www.boltdepot.com/Metric_hex_bolts_Zinc_plated_class_8.8_steel_12mm_x_1.75mm.aspx</t>
        </is>
      </c>
    </row>
    <row r="8">
      <c r="A8" t="inlineStr">
        <is>
          <t>DigiKey</t>
        </is>
      </c>
      <c r="B8" s="16" t="inlineStr">
        <is>
          <t>Miniature basic switch, hinge lever, SPDT, gold alloy crossbar contact - left and right shoulder lock sensors (revision D); Panel charge jack, 5.5 mm OD barrel, threaded bushing; Main power switch, SPST rocker, 20 A 12 V DC, snap-in; In-line ATO/ATC blade fuse holder, 20 A 32 V, 16 AWG leads; Fuse, ATO blade, 15 A 32 V - main, at the battery positive lead; Fuse, ATO blade, 3 A 32 V - charge port branch; Fuse, ATO blade, 3 A 32 V - 5 V regulator input; Fuse, ATO blade, 5 A 32 V - 6 V motor rail A input; Fuse, ATO blade, 5 A 32 V - 6 V motor rail B input; Fuse, ATO blade, 2 A 32 V - dome 5 V feed through the slip ring; Fuse, ATO blade, 2 A 32 V - 12 V actuator driver U10 (revision D); F2 female spade terminal, 0.250 inch, insulated crimp, 14-16 AWG; Anderson Powerpole 15-45 A housing (two red, two black); Anderson Powerpole contact, 15 A, 16-20 AWG, silver; Through-hole resistor, 15 k ohm 5% 1/4 W; Through-hole resistor, 71.5 k ohm 1% 1/4 W metal film - DRV8871 current limit (revision D); Through-hole resistor, 3.3 k ohm 5% 1/4 W - lock switch pull-ups (revision D); Through-hole resistor, 2.2 k ohm 5% 1/4 W - actuator pot top resistor (revision D); Through-hole resistor, 470 k ohm 5% 1/4 W - actuator wiper pull-down (revision D)</t>
        </is>
      </c>
      <c r="C8" s="16" t="inlineStr">
        <is>
          <t>https://www.digikey.com/en/products/detail/anderson-power-products-inc/1327-BK/10650475
https://www.digikey.com/en/products/detail/anderson-power-products-inc/1332-BK/10650021
https://www.digikey.com/en/products/detail/carling-technologies/V1D2S00B-GZCXX-1XX-XFWD1/11587384
https://www.digikey.com/en/products/detail/littelfuse-commercial-vehicle-products/FHAC0001ZXJ/2004062
https://www.digikey.com/en/products/detail/littelfuse-inc/0287002-PXCN/3102552
https://www.digikey.com/en/products/detail/littelfuse-inc/0287003-PXCN/3102553
https://www.digikey.com/en/products/detail/littelfuse-inc/0287005-PXCN/2519811
https://www.digikey.com/en/products/detail/littelfuse-inc/0287015.PXCN/2519816
https://www.digikey.com/en/products/detail/omron-electronics-inc-emc-div/SS-01GL/369830
https://www.digikey.com/en/products/detail/stackpole-electronics-inc/CF14JT15K0/1741298
https://www.digikey.com/en/products/detail/stackpole-electronics-inc/CF14JT2K20/1741321
https://www.digikey.com/en/products/detail/stackpole-electronics-inc/CF14JT3K30/1741376
https://www.digikey.com/en/products/detail/stackpole-electronics-inc/CF14JT470K/1741442
https://www.digikey.com/en/products/detail/stackpole-electronics-inc/RNF14FTD71K5/738-RNF14FTD71K5CT-ND
https://www.digikey.com/en/products/detail/switchcraft-inc/L722A/241928
https://www.digikey.com/en/products/detail/te-connectivity-amp-connectors/3-520408-2/14800982</t>
        </is>
      </c>
    </row>
    <row r="9">
      <c r="A9" t="inlineStr">
        <is>
          <t>J.W. Winco</t>
        </is>
      </c>
      <c r="B9" s="16" t="inlineStr">
        <is>
          <t>Indexing plunger, zinc die-cast, 6 mm pin, screw-on flange 35 x 26 x 12 mm - shoulder stance lock; Receiver bushing, hardened, M12 x 1.5 x 10 mm body, 13 mm hex, 6.2 mm bore</t>
        </is>
      </c>
      <c r="C9" s="16" t="inlineStr">
        <is>
          <t>https://live-catalog.jwwinco.com/pdf/winco/us/412_2.pdf?dispositiontype=attachment
https://www.jwwinco.com/en-us/products/3.1-Indexing-locking-blocking-with-pins-and-ball-shaped-elements/Indexing-plungers/GN-412-Zinc-Die-Cast-Indexing-Plungers-with-Screw-On-Flange</t>
        </is>
      </c>
    </row>
    <row r="10">
      <c r="A10" t="inlineStr">
        <is>
          <t>Pololu</t>
        </is>
      </c>
      <c r="B10" s="16" t="inlineStr">
        <is>
          <t>Pololu D36V50F5 step-down regulator, 12 V to 5 V 5.5 A - Pi, displays, NeoPixels, amplifier; Pololu D36V50F6 step-down regulator, 12 V to 6 V 5.5 A - motor rail A (drivers U1 and U3); Pololu D36V50F6 step-down regulator, 12 V to 6 V 5.5 A - motor rail B (drivers U2 and U4); Servo extension cable, 12 in (300 mm), 22 AWG - release servos to the tray (revision D)</t>
        </is>
      </c>
      <c r="C10" s="16" t="inlineStr">
        <is>
          <t>https://www.pololu.com/product/2184
https://www.pololu.com/product/4091
https://www.pololu.com/product/4092</t>
        </is>
      </c>
    </row>
    <row r="11">
      <c r="A11" t="inlineStr">
        <is>
          <t>PowerStream</t>
        </is>
      </c>
      <c r="B11" s="16" t="inlineStr">
        <is>
          <t>SLA charger, 3 stage, 12 V 1.5 A, 5.5 x 2.1 mm centre-positive barrel plug</t>
        </is>
      </c>
      <c r="C11" s="16" t="inlineStr">
        <is>
          <t>https://www.powerstream.com/12V-car-charger.htm</t>
        </is>
      </c>
    </row>
    <row r="12">
      <c r="A12" t="inlineStr">
        <is>
          <t>TRC Electronics</t>
        </is>
      </c>
      <c r="B12" s="16" t="inlineStr">
        <is>
          <t>Battery, 12 V 7 Ah sealed lead acid, F2 terminals</t>
        </is>
      </c>
      <c r="C12" s="16" t="inlineStr">
        <is>
          <t>https://www.trcelectronics.com/products/powersonic-ps-1270-f2</t>
        </is>
      </c>
    </row>
    <row r="13">
      <c r="A13" t="inlineStr">
        <is>
          <t>VXB</t>
        </is>
      </c>
      <c r="B13" s="16" t="inlineStr">
        <is>
          <t>Linear ball bushing LM12LUU, 12 x 21 x 57 mm, sealed, two pack; Hardened chrome steel linear shaft 12 mm x 200 mm - centre-leg guide</t>
        </is>
      </c>
      <c r="C13" s="16" t="inlineStr">
        <is>
          <t>https://vxb.com/products/12mm-shaft-hardened-rod-linear-motion-200mm-long
https://vxb.com/products/two-pack-lm12luu-12mm-long-linear-ball-bearing-bus</t>
        </is>
      </c>
    </row>
    <row r="14">
      <c r="A14" t="inlineStr">
        <is>
          <t>WW Hardware</t>
        </is>
      </c>
      <c r="B14" s="16" t="inlineStr">
        <is>
          <t>Lazy susan ring bearing, 9 inch round steel, 228.6 mm OD, 114.3 mm centre hole</t>
        </is>
      </c>
      <c r="C14" s="16" t="inlineStr">
        <is>
          <t>https://www.wwhardware.com/triangle-flat-lazy-susan-bearing-9-round-tr09c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2026-09-13T04:55:53Z</dcterms:created>
  <dcterms:modified xmlns:dcterms="http://purl.org/dc/terms/" xmlns:xsi="http://www.w3.org/2001/XMLSchema-instance" xsi:type="dcterms:W3CDTF">2026-09-13T04:55:53Z</dcterms:modified>
</cp:coreProperties>
</file>