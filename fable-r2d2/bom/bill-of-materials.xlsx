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ectronics" sheetId="2" state="visible" r:id="rId2"/>
    <sheet xmlns:r="http://schemas.openxmlformats.org/officeDocument/2006/relationships" name="Hardware" sheetId="3" state="visible" r:id="rId3"/>
    <sheet xmlns:r="http://schemas.openxmlformats.org/officeDocument/2006/relationships" name="Printed parts" sheetId="4" state="visible" r:id="rId4"/>
    <sheet xmlns:r="http://schemas.openxmlformats.org/officeDocument/2006/relationships" name="Filament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B5394"/>
      <u val="single"/>
    </font>
    <font>
      <b val="1"/>
    </font>
    <font>
      <b val="1"/>
      <sz val="14"/>
    </font>
    <font/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4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dafruit.com/product/4296" TargetMode="External" Id="rId1"/><Relationship Type="http://schemas.openxmlformats.org/officeDocument/2006/relationships/hyperlink" Target="https://www.adafruit.com/product/5302" TargetMode="External" Id="rId2"/><Relationship Type="http://schemas.openxmlformats.org/officeDocument/2006/relationships/hyperlink" Target="https://www.adafruit.com/product/3297" TargetMode="External" Id="rId3"/><Relationship Type="http://schemas.openxmlformats.org/officeDocument/2006/relationships/hyperlink" Target="https://www.adafruit.com/product/3297" TargetMode="External" Id="rId4"/><Relationship Type="http://schemas.openxmlformats.org/officeDocument/2006/relationships/hyperlink" Target="https://www.adafruit.com/product/3297" TargetMode="External" Id="rId5"/><Relationship Type="http://schemas.openxmlformats.org/officeDocument/2006/relationships/hyperlink" Target="https://www.adafruit.com/product/3297" TargetMode="External" Id="rId6"/><Relationship Type="http://schemas.openxmlformats.org/officeDocument/2006/relationships/hyperlink" Target="https://www.pololu.com/product/4091" TargetMode="External" Id="rId7"/><Relationship Type="http://schemas.openxmlformats.org/officeDocument/2006/relationships/hyperlink" Target="https://www.pololu.com/product/4092" TargetMode="External" Id="rId8"/><Relationship Type="http://schemas.openxmlformats.org/officeDocument/2006/relationships/hyperlink" Target="https://www.pololu.com/product/4092" TargetMode="External" Id="rId9"/><Relationship Type="http://schemas.openxmlformats.org/officeDocument/2006/relationships/hyperlink" Target="https://www.adafruit.com/product/2130" TargetMode="External" Id="rId10"/><Relationship Type="http://schemas.openxmlformats.org/officeDocument/2006/relationships/hyperlink" Target="https://www.adafruit.com/product/1085" TargetMode="External" Id="rId11"/><Relationship Type="http://schemas.openxmlformats.org/officeDocument/2006/relationships/hyperlink" Target="https://www.adafruit.com/product/1195" TargetMode="External" Id="rId12"/><Relationship Type="http://schemas.openxmlformats.org/officeDocument/2006/relationships/hyperlink" Target="https://www.adafruit.com/product/872" TargetMode="External" Id="rId13"/><Relationship Type="http://schemas.openxmlformats.org/officeDocument/2006/relationships/hyperlink" Target="https://www.adafruit.com/product/872" TargetMode="External" Id="rId14"/><Relationship Type="http://schemas.openxmlformats.org/officeDocument/2006/relationships/hyperlink" Target="https://www.adafruit.com/product/870" TargetMode="External" Id="rId15"/><Relationship Type="http://schemas.openxmlformats.org/officeDocument/2006/relationships/hyperlink" Target="https://www.adafruit.com/product/870" TargetMode="External" Id="rId16"/><Relationship Type="http://schemas.openxmlformats.org/officeDocument/2006/relationships/hyperlink" Target="https://www.adafruit.com/product/6178" TargetMode="External" Id="rId17"/><Relationship Type="http://schemas.openxmlformats.org/officeDocument/2006/relationships/hyperlink" Target="https://www.adafruit.com/product/2226" TargetMode="External" Id="rId18"/><Relationship Type="http://schemas.openxmlformats.org/officeDocument/2006/relationships/hyperlink" Target="https://www.adafruit.com/product/2226" TargetMode="External" Id="rId19"/><Relationship Type="http://schemas.openxmlformats.org/officeDocument/2006/relationships/hyperlink" Target="https://www.adafruit.com/product/1734" TargetMode="External" Id="rId20"/><Relationship Type="http://schemas.openxmlformats.org/officeDocument/2006/relationships/hyperlink" Target="https://www.adafruit.com/product/1314" TargetMode="External" Id="rId21"/><Relationship Type="http://schemas.openxmlformats.org/officeDocument/2006/relationships/hyperlink" Target="https://www.adafruit.com/product/3777" TargetMode="External" Id="rId22"/><Relationship Type="http://schemas.openxmlformats.org/officeDocument/2006/relationships/hyperlink" Target="https://www.adafruit.com/product/3777" TargetMode="External" Id="rId23"/><Relationship Type="http://schemas.openxmlformats.org/officeDocument/2006/relationships/hyperlink" Target="https://www.adafruit.com/product/3777" TargetMode="External" Id="rId24"/><Relationship Type="http://schemas.openxmlformats.org/officeDocument/2006/relationships/hyperlink" Target="https://www.adafruit.com/product/3777" TargetMode="External" Id="rId25"/><Relationship Type="http://schemas.openxmlformats.org/officeDocument/2006/relationships/hyperlink" Target="https://www.adafruit.com/product/3777" TargetMode="External" Id="rId26"/><Relationship Type="http://schemas.openxmlformats.org/officeDocument/2006/relationships/hyperlink" Target="https://www.adafruit.com/product/3777" TargetMode="External" Id="rId27"/><Relationship Type="http://schemas.openxmlformats.org/officeDocument/2006/relationships/hyperlink" Target="https://www.adafruit.com/product/3777" TargetMode="External" Id="rId28"/><Relationship Type="http://schemas.openxmlformats.org/officeDocument/2006/relationships/hyperlink" Target="https://www.adafruit.com/product/3766" TargetMode="External" Id="rId29"/><Relationship Type="http://schemas.openxmlformats.org/officeDocument/2006/relationships/hyperlink" Target="https://www.trcelectronics.com/products/powersonic-ps-1270-f2" TargetMode="External" Id="rId30"/><Relationship Type="http://schemas.openxmlformats.org/officeDocument/2006/relationships/hyperlink" Target="https://www.powerstream.com/12V-car-charger.htm" TargetMode="External" Id="rId31"/><Relationship Type="http://schemas.openxmlformats.org/officeDocument/2006/relationships/hyperlink" Target="https://www.digikey.com/en/products/detail/switchcraft-inc/L722A/241928" TargetMode="External" Id="rId32"/><Relationship Type="http://schemas.openxmlformats.org/officeDocument/2006/relationships/hyperlink" Target="https://www.digikey.com/en/products/detail/carling-technologies/V1D2S00B-GZCXX-1XX-XFWD1/11587384" TargetMode="External" Id="rId33"/><Relationship Type="http://schemas.openxmlformats.org/officeDocument/2006/relationships/hyperlink" Target="https://www.digikey.com/en/products/detail/littelfuse-commercial-vehicle-products/FHAC0001ZXJ/2004062" TargetMode="External" Id="rId34"/><Relationship Type="http://schemas.openxmlformats.org/officeDocument/2006/relationships/hyperlink" Target="https://www.digikey.com/en/products/detail/littelfuse-inc/0287015.PXCN/2519816" TargetMode="External" Id="rId35"/><Relationship Type="http://schemas.openxmlformats.org/officeDocument/2006/relationships/hyperlink" Target="https://www.digikey.com/en/products/detail/littelfuse-inc/0287003-PXCN/3102553" TargetMode="External" Id="rId36"/><Relationship Type="http://schemas.openxmlformats.org/officeDocument/2006/relationships/hyperlink" Target="https://www.digikey.com/en/products/detail/littelfuse-inc/0287003-PXCN/3102553" TargetMode="External" Id="rId37"/><Relationship Type="http://schemas.openxmlformats.org/officeDocument/2006/relationships/hyperlink" Target="https://www.digikey.com/en/products/detail/littelfuse-inc/0287005-PXCN/2519811" TargetMode="External" Id="rId38"/><Relationship Type="http://schemas.openxmlformats.org/officeDocument/2006/relationships/hyperlink" Target="https://www.digikey.com/en/products/detail/littelfuse-inc/0287005-PXCN/2519811" TargetMode="External" Id="rId39"/><Relationship Type="http://schemas.openxmlformats.org/officeDocument/2006/relationships/hyperlink" Target="https://www.digikey.com/en/products/detail/littelfuse-inc/0287002-PXCN/3102552" TargetMode="External" Id="rId40"/><Relationship Type="http://schemas.openxmlformats.org/officeDocument/2006/relationships/hyperlink" Target="https://www.digikey.com/en/products/detail/te-connectivity-amp-connectors/3-520408-2/14800982" TargetMode="External" Id="rId41"/><Relationship Type="http://schemas.openxmlformats.org/officeDocument/2006/relationships/hyperlink" Target="https://bntechgo.com/bntechgo-16-gauge-silicone-wire-kit-ultra-flexible-50-ft-black-and-red-each-color-25-ft-high-temp-200-c-600v-16-awg-silicone-wire-252-strands-of-tinned-copper-wire-stranded-wire-stranded-wire-for-model-battery/" TargetMode="External" Id="rId42"/><Relationship Type="http://schemas.openxmlformats.org/officeDocument/2006/relationships/hyperlink" Target="https://bntechgo.com/bntechgo-22-gauge-silicone-wire-kit-ultra-flexible-6-colors-each-30-ft-high-temp-200-c-600v-22-awg-silicone-wire-60-strands-of-tinned-copper-wire-stranded-wire-for-model-battery/" TargetMode="External" Id="rId43"/><Relationship Type="http://schemas.openxmlformats.org/officeDocument/2006/relationships/hyperlink" Target="https://www.adafruit.com/product/4872" TargetMode="External" Id="rId44"/><Relationship Type="http://schemas.openxmlformats.org/officeDocument/2006/relationships/hyperlink" Target="https://www.digikey.com/en/products/detail/anderson-power-products-inc/1327-BK/10650475" TargetMode="External" Id="rId45"/><Relationship Type="http://schemas.openxmlformats.org/officeDocument/2006/relationships/hyperlink" Target="https://www.digikey.com/en/products/detail/anderson-power-products-inc/1332-BK/10650021" TargetMode="External" Id="rId46"/><Relationship Type="http://schemas.openxmlformats.org/officeDocument/2006/relationships/hyperlink" Target="https://www.adafruit.com/product/4474" TargetMode="External" Id="rId47"/><Relationship Type="http://schemas.openxmlformats.org/officeDocument/2006/relationships/hyperlink" Target="https://www.adafruit.com/product/5978" TargetMode="External" Id="rId48"/><Relationship Type="http://schemas.openxmlformats.org/officeDocument/2006/relationships/hyperlink" Target="https://www.adafruit.com/product/4293" TargetMode="External" Id="rId49"/><Relationship Type="http://schemas.openxmlformats.org/officeDocument/2006/relationships/hyperlink" Target="https://www.adafruit.com/product/2787" TargetMode="External" Id="rId50"/><Relationship Type="http://schemas.openxmlformats.org/officeDocument/2006/relationships/hyperlink" Target="https://www.digikey.com/en/products/detail/stackpole-electronics-inc/CF14JT15K0/1741298" TargetMode="External" Id="rId51"/><Relationship Type="http://schemas.openxmlformats.org/officeDocument/2006/relationships/hyperlink" Target="https://www.adafruit.com/product/2784" TargetMode="External" Id="rId52"/><Relationship Type="http://schemas.openxmlformats.org/officeDocument/2006/relationships/hyperlink" Target="https://www.adafruit.com/product/6010" TargetMode="External" Id="rId53"/><Relationship Type="http://schemas.openxmlformats.org/officeDocument/2006/relationships/hyperlink" Target="https://www.adafruit.com/product/158" TargetMode="External" Id="rId5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wwhardware.com/triangle-flat-lazy-susan-bearing-9-round-tr09c" TargetMode="External" Id="rId1"/><Relationship Type="http://schemas.openxmlformats.org/officeDocument/2006/relationships/hyperlink" Target="https://www.amazon.com/dp/B07GVQ8G23" TargetMode="External" Id="rId2"/><Relationship Type="http://schemas.openxmlformats.org/officeDocument/2006/relationships/hyperlink" Target="https://www.boltdepot.com/Metric_hex_bolts_Zinc_plated_class_8.8_steel_12mm_x_1.75mm.aspx" TargetMode="External" Id="rId3"/><Relationship Type="http://schemas.openxmlformats.org/officeDocument/2006/relationships/hyperlink" Target="https://www.amazon.com/dp/B0F8GZP628" TargetMode="External" Id="rId4"/><Relationship Type="http://schemas.openxmlformats.org/officeDocument/2006/relationships/hyperlink" Target="https://boltdepot.com/Product-List?Units=Metric&amp;Category=Washers&amp;Subcategory=Fender_washers&amp;F_Size=12mm&amp;Material=Steel&amp;Plating=Zinc" TargetMode="External" Id="rId5"/><Relationship Type="http://schemas.openxmlformats.org/officeDocument/2006/relationships/hyperlink" Target="https://boltdepot.com/Product-List?Units=Metric&amp;Category=Washers&amp;Subcategory=Flat_washers&amp;F_Size=12mm&amp;Material=Steel&amp;Plating=Zinc" TargetMode="External" Id="rId6"/><Relationship Type="http://schemas.openxmlformats.org/officeDocument/2006/relationships/hyperlink" Target="https://www.amazon.com/dp/B0CGDV5C3F" TargetMode="External" Id="rId7"/><Relationship Type="http://schemas.openxmlformats.org/officeDocument/2006/relationships/hyperlink" Target="https://www.amazon.com/dp/B076GVC92R" TargetMode="External" Id="rId8"/><Relationship Type="http://schemas.openxmlformats.org/officeDocument/2006/relationships/hyperlink" Target="https://boltdepot.com/Threaded_rod_Zinc_plated_steel_8mm_x_1.25mm" TargetMode="External" Id="rId9"/><Relationship Type="http://schemas.openxmlformats.org/officeDocument/2006/relationships/hyperlink" Target="https://boltdepot.com/Product-List?Units=Metric&amp;Category=Nuts&amp;Subcategory=Hex_nuts&amp;F_Diameter=8mm&amp;F_Thread_pitch=1.25mm&amp;Material=Steel&amp;Plating=Zinc&amp;Grade=Class_8.8" TargetMode="External" Id="rId10"/><Relationship Type="http://schemas.openxmlformats.org/officeDocument/2006/relationships/hyperlink" Target="https://www.amazon.com/dp/B0F1YGKBSL" TargetMode="External" Id="rId11"/><Relationship Type="http://schemas.openxmlformats.org/officeDocument/2006/relationships/hyperlink" Target="https://boltdepot.com/Product-List?Units=Metric&amp;Category=Washers&amp;Subcategory=Flat_washers&amp;F_Size=8mm&amp;Material=Steel&amp;Plating=Zinc" TargetMode="External" Id="rId12"/><Relationship Type="http://schemas.openxmlformats.org/officeDocument/2006/relationships/hyperlink" Target="https://boltdepot.com/Product-List?Units=Metric&amp;Category=Washers&amp;Subcategory=Fender_washers&amp;F_Size=8mm&amp;Material=Steel&amp;Plating=Zinc" TargetMode="External" Id="rId13"/><Relationship Type="http://schemas.openxmlformats.org/officeDocument/2006/relationships/hyperlink" Target="https://boltdepot.com/Metric_socket_cap_Stainless_steel_18-8_(A-2)_5mm_x_0.8mm" TargetMode="External" Id="rId14"/><Relationship Type="http://schemas.openxmlformats.org/officeDocument/2006/relationships/hyperlink" Target="https://www.amazon.com/dp/B07YSVXWS8" TargetMode="External" Id="rId15"/><Relationship Type="http://schemas.openxmlformats.org/officeDocument/2006/relationships/hyperlink" Target="https://www.amazon.com/dp/B0DY4HF7N8" TargetMode="External" Id="rId16"/><Relationship Type="http://schemas.openxmlformats.org/officeDocument/2006/relationships/hyperlink" Target="https://www.amazon.com/dp/B0D7PWCDWK" TargetMode="External" Id="rId17"/><Relationship Type="http://schemas.openxmlformats.org/officeDocument/2006/relationships/hyperlink" Target="https://us.amazon.com/Compression-Spring-Stainless-Length-Silver/dp/B0DK9C5YT5" TargetMode="External" Id="rId18"/><Relationship Type="http://schemas.openxmlformats.org/officeDocument/2006/relationships/hyperlink" Target="https://www.amazon.com/dp/B074TFLBFQ" TargetMode="External" Id="rId19"/><Relationship Type="http://schemas.openxmlformats.org/officeDocument/2006/relationships/hyperlink" Target="https://boltdepot.com/Product-List?Units=Metric&amp;Category=Nuts&amp;Subcategory=Hex_nuts&amp;F_Diameter=4mm&amp;F_Thread_pitch=0.7mm&amp;Material=Steel&amp;Plating=Zinc" TargetMode="External" Id="rId20"/><Relationship Type="http://schemas.openxmlformats.org/officeDocument/2006/relationships/hyperlink" Target="https://boltdepot.com/Product-List?Units=Metric&amp;Category=Washers&amp;Subcategory=Flat_washers&amp;F_Size=4mm&amp;Material=Steel&amp;Plating=Zinc" TargetMode="External" Id="rId21"/><Relationship Type="http://schemas.openxmlformats.org/officeDocument/2006/relationships/hyperlink" Target="https://www.amazon.com/dp/B07YSV66Y5" TargetMode="External" Id="rId22"/><Relationship Type="http://schemas.openxmlformats.org/officeDocument/2006/relationships/hyperlink" Target="https://www.amazon.com/dp/B0CHMKL1DF" TargetMode="External" Id="rId23"/><Relationship Type="http://schemas.openxmlformats.org/officeDocument/2006/relationships/hyperlink" Target="https://www.adafruit.com/product/4255" TargetMode="External" Id="rId24"/><Relationship Type="http://schemas.openxmlformats.org/officeDocument/2006/relationships/hyperlink" Target="https://www.adafruit.com/product/3299" TargetMode="External" Id="rId25"/><Relationship Type="http://schemas.openxmlformats.org/officeDocument/2006/relationships/hyperlink" Target="https://www.amazon.com/dp/B01HDR72Q2" TargetMode="External" Id="rId26"/><Relationship Type="http://schemas.openxmlformats.org/officeDocument/2006/relationships/hyperlink" Target="https://www.amazon.com/dp/B0F43TNSM2" TargetMode="External" Id="rId27"/><Relationship Type="http://schemas.openxmlformats.org/officeDocument/2006/relationships/hyperlink" Target="https://www.amazon.com/dp/B09PJ8L58G" TargetMode="External" Id="rId28"/><Relationship Type="http://schemas.openxmlformats.org/officeDocument/2006/relationships/hyperlink" Target="https://www.amazon.com/dp/B0877BD2SH" TargetMode="External" Id="rId29"/><Relationship Type="http://schemas.openxmlformats.org/officeDocument/2006/relationships/hyperlink" Target="https://www.amazon.com/dp/B00TRUC19C" TargetMode="External" Id="rId30"/><Relationship Type="http://schemas.openxmlformats.org/officeDocument/2006/relationships/hyperlink" Target="https://us.store.bambulab.com/products/petg-basic" TargetMode="External" Id="rId31"/><Relationship Type="http://schemas.openxmlformats.org/officeDocument/2006/relationships/hyperlink" Target="https://us.store.bambulab.com/products/petg-cf" TargetMode="External" Id="rId32"/><Relationship Type="http://schemas.openxmlformats.org/officeDocument/2006/relationships/hyperlink" Target="https://us.store.bambulab.com/products/pla-basic-filament" TargetMode="External" Id="rId33"/></Relationships>
</file>

<file path=xl/worksheets/_rels/sheet5.xml.rels><Relationships xmlns="http://schemas.openxmlformats.org/package/2006/relationships"><Relationship Type="http://schemas.openxmlformats.org/officeDocument/2006/relationships/hyperlink" Target="https://us.store.bambulab.com/products/petg-h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0" customWidth="1" min="3" max="3"/>
  </cols>
  <sheetData>
    <row r="1">
      <c r="A1" s="1" t="inlineStr">
        <is>
          <t>fable-r2d2 bill of materials</t>
        </is>
      </c>
    </row>
    <row r="2" ht="45" customHeight="1">
      <c r="A2" s="2" t="inlineStr">
        <is>
          <t>Prices are list prices read from supplier pages on the date in the notes; tax and shipping excluded. Edit quantities or unit prices on the sheets; totals are formulas.</t>
        </is>
      </c>
    </row>
    <row r="4">
      <c r="A4" s="3" t="inlineStr">
        <is>
          <t>Electronics</t>
        </is>
      </c>
      <c r="B4" s="4">
        <f>Electronics!J56</f>
        <v/>
      </c>
    </row>
    <row r="5">
      <c r="A5" s="3" t="inlineStr">
        <is>
          <t>Mechanical hardware</t>
        </is>
      </c>
      <c r="B5" s="4">
        <f>Hardware!J35</f>
        <v/>
      </c>
    </row>
    <row r="6">
      <c r="A6" s="3" t="inlineStr">
        <is>
          <t>Filament</t>
        </is>
      </c>
      <c r="B6" s="4">
        <f>Filament!E3</f>
        <v/>
      </c>
    </row>
    <row r="7">
      <c r="A7" s="5" t="inlineStr">
        <is>
          <t>Grand total (USD)</t>
        </is>
      </c>
      <c r="B7" s="6">
        <f>SUM(B4:B6)</f>
        <v/>
      </c>
    </row>
    <row r="9">
      <c r="A9" t="inlineStr">
        <is>
          <t>Printed pieces</t>
        </is>
      </c>
      <c r="B9">
        <f>SUM('Printed parts'!B2:B10)</f>
        <v/>
      </c>
    </row>
    <row r="10">
      <c r="A10" t="inlineStr">
        <is>
          <t>Unique STL files</t>
        </is>
      </c>
      <c r="B10" t="n">
        <v>9</v>
      </c>
    </row>
    <row r="11">
      <c r="A11" t="inlineStr">
        <is>
          <t>Sliced filament mass, g</t>
        </is>
      </c>
      <c r="B11">
        <f>'Printed parts'!I11</f>
        <v/>
      </c>
    </row>
    <row r="12">
      <c r="A12" t="inlineStr">
        <is>
          <t>Sliced print time, h</t>
        </is>
      </c>
      <c r="B12">
        <f>'Printed parts'!J11</f>
        <v/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34" customWidth="1" min="3" max="3"/>
    <col width="20" customWidth="1" min="4" max="4"/>
    <col width="14" customWidth="1" min="5" max="5"/>
    <col width="46" customWidth="1" min="6" max="6"/>
    <col width="10" customWidth="1" min="7" max="7"/>
    <col width="12" customWidth="1" min="8" max="8"/>
    <col width="52" customWidth="1" min="9" max="9"/>
    <col width="11" customWidth="1" min="10" max="10"/>
  </cols>
  <sheetData>
    <row r="1" ht="30" customHeight="1">
      <c r="A1" s="7" t="inlineStr">
        <is>
          <t>Ref</t>
        </is>
      </c>
      <c r="B1" s="7" t="inlineStr">
        <is>
          <t>Qty</t>
        </is>
      </c>
      <c r="C1" s="7" t="inlineStr">
        <is>
          <t>Item</t>
        </is>
      </c>
      <c r="D1" s="7" t="inlineStr">
        <is>
          <t>Part number</t>
        </is>
      </c>
      <c r="E1" s="7" t="inlineStr">
        <is>
          <t>Supplier</t>
        </is>
      </c>
      <c r="F1" s="7" t="inlineStr">
        <is>
          <t>Source URL</t>
        </is>
      </c>
      <c r="G1" s="7" t="inlineStr">
        <is>
          <t>Unit USD</t>
        </is>
      </c>
      <c r="H1" s="7" t="inlineStr">
        <is>
          <t>Price basis</t>
        </is>
      </c>
      <c r="I1" s="7" t="inlineStr">
        <is>
          <t>Notes / use</t>
        </is>
      </c>
      <c r="J1" s="7" t="inlineStr">
        <is>
          <t>Line USD</t>
        </is>
      </c>
    </row>
    <row r="2">
      <c r="A2" s="8" t="inlineStr">
        <is>
          <t>A1</t>
        </is>
      </c>
      <c r="B2" s="8" t="n">
        <v>1</v>
      </c>
      <c r="C2" s="9" t="inlineStr">
        <is>
          <t>Raspberry Pi 4 Model B, 4 GB - control server, Wi-Fi, head displays, audio</t>
        </is>
      </c>
      <c r="D2" s="8" t="inlineStr">
        <is>
          <t>Adafruit 4296</t>
        </is>
      </c>
      <c r="E2" s="8" t="inlineStr">
        <is>
          <t>Adafruit</t>
        </is>
      </c>
      <c r="F2" s="10" t="inlineStr">
        <is>
          <t>https://www.adafruit.com/product/4296</t>
        </is>
      </c>
      <c r="G2" s="11" t="n">
        <v>120</v>
      </c>
      <c r="H2" s="8" t="inlineStr">
        <is>
          <t>listed</t>
        </is>
      </c>
      <c r="I2" s="9" t="inlineStr">
        <is>
          <t>Powered from the 5 V regulator through a USB-C plug breakout (J12), not from a wall adapter. Needs the 32 GB microSD SD1.</t>
        </is>
      </c>
      <c r="J2" s="12">
        <f>B2*G2</f>
        <v/>
      </c>
    </row>
    <row r="3">
      <c r="A3" s="8" t="inlineStr">
        <is>
          <t>A2</t>
        </is>
      </c>
      <c r="B3" s="8" t="n">
        <v>1</v>
      </c>
      <c r="C3" s="9" t="inlineStr">
        <is>
          <t>Adafruit KB2040 (RP2040) - motor and NeoPixel controller</t>
        </is>
      </c>
      <c r="D3" s="8" t="inlineStr">
        <is>
          <t>Adafruit 5302</t>
        </is>
      </c>
      <c r="E3" s="8" t="inlineStr">
        <is>
          <t>Adafruit</t>
        </is>
      </c>
      <c r="F3" s="10" t="inlineStr">
        <is>
          <t>https://www.adafruit.com/product/5302</t>
        </is>
      </c>
      <c r="G3" s="11" t="n">
        <v>8.949999999999999</v>
      </c>
      <c r="H3" s="8" t="inlineStr">
        <is>
          <t>listed</t>
        </is>
      </c>
      <c r="I3" s="9" t="inlineStr">
        <is>
          <t>Powered and commanded from a Pi USB 2.0 port over cable J11. Pin map is fixed by firmware/kb2040/code.py.</t>
        </is>
      </c>
      <c r="J3" s="12">
        <f>B3*G3</f>
        <v/>
      </c>
    </row>
    <row r="4">
      <c r="A4" s="8" t="inlineStr">
        <is>
          <t>U1</t>
        </is>
      </c>
      <c r="B4" s="8" t="n">
        <v>1</v>
      </c>
      <c r="C4" s="9" t="inlineStr">
        <is>
          <t>DRV8833 dual H-bridge - driver 1, left foot (lf-front, lf-rear)</t>
        </is>
      </c>
      <c r="D4" s="8" t="inlineStr">
        <is>
          <t>Adafruit 3297</t>
        </is>
      </c>
      <c r="E4" s="8" t="inlineStr">
        <is>
          <t>Adafruit</t>
        </is>
      </c>
      <c r="F4" s="10" t="inlineStr">
        <is>
          <t>https://www.adafruit.com/product/3297</t>
        </is>
      </c>
      <c r="G4" s="11" t="n">
        <v>5.95</v>
      </c>
      <c r="H4" s="8" t="inlineStr">
        <is>
          <t>listed</t>
        </is>
      </c>
      <c r="I4" s="9" t="inlineStr">
        <is>
          <t>VMOTOR from the 6 V regulator U6. Keep both 0.2 ohm sense resistors: 1 A per motor.</t>
        </is>
      </c>
      <c r="J4" s="12">
        <f>B4*G4</f>
        <v/>
      </c>
    </row>
    <row r="5">
      <c r="A5" s="8" t="inlineStr">
        <is>
          <t>U2</t>
        </is>
      </c>
      <c r="B5" s="8" t="n">
        <v>1</v>
      </c>
      <c r="C5" s="9" t="inlineStr">
        <is>
          <t>DRV8833 dual H-bridge - driver 2, right foot (rf-front, rf-rear)</t>
        </is>
      </c>
      <c r="D5" s="8" t="inlineStr">
        <is>
          <t>Adafruit 3297</t>
        </is>
      </c>
      <c r="E5" s="8" t="inlineStr">
        <is>
          <t>Adafruit</t>
        </is>
      </c>
      <c r="F5" s="10" t="inlineStr">
        <is>
          <t>https://www.adafruit.com/product/3297</t>
        </is>
      </c>
      <c r="G5" s="11" t="n">
        <v>5.95</v>
      </c>
      <c r="H5" s="8" t="inlineStr">
        <is>
          <t>listed</t>
        </is>
      </c>
      <c r="I5" s="9" t="inlineStr">
        <is>
          <t>VMOTOR from the 6 V regulator U7.</t>
        </is>
      </c>
      <c r="J5" s="12">
        <f>B5*G5</f>
        <v/>
      </c>
    </row>
    <row r="6">
      <c r="A6" s="8" t="inlineStr">
        <is>
          <t>U3</t>
        </is>
      </c>
      <c r="B6" s="8" t="n">
        <v>1</v>
      </c>
      <c r="C6" s="9" t="inlineStr">
        <is>
          <t>DRV8833 dual H-bridge - driver 3, centre foot (cf-front, cf-rear)</t>
        </is>
      </c>
      <c r="D6" s="8" t="inlineStr">
        <is>
          <t>Adafruit 3297</t>
        </is>
      </c>
      <c r="E6" s="8" t="inlineStr">
        <is>
          <t>Adafruit</t>
        </is>
      </c>
      <c r="F6" s="10" t="inlineStr">
        <is>
          <t>https://www.adafruit.com/product/3297</t>
        </is>
      </c>
      <c r="G6" s="11" t="n">
        <v>5.95</v>
      </c>
      <c r="H6" s="8" t="inlineStr">
        <is>
          <t>listed</t>
        </is>
      </c>
      <c r="I6" s="9" t="inlineStr">
        <is>
          <t>VMOTOR from the 6 V regulator U6.</t>
        </is>
      </c>
      <c r="J6" s="12">
        <f>B6*G6</f>
        <v/>
      </c>
    </row>
    <row r="7">
      <c r="A7" s="8" t="inlineStr">
        <is>
          <t>U4</t>
        </is>
      </c>
      <c r="B7" s="8" t="n">
        <v>1</v>
      </c>
      <c r="C7" s="9" t="inlineStr">
        <is>
          <t>DRV8833 dual H-bridge - driver 4, head friction drive (channel A only)</t>
        </is>
      </c>
      <c r="D7" s="8" t="inlineStr">
        <is>
          <t>Adafruit 3297</t>
        </is>
      </c>
      <c r="E7" s="8" t="inlineStr">
        <is>
          <t>Adafruit</t>
        </is>
      </c>
      <c r="F7" s="10" t="inlineStr">
        <is>
          <t>https://www.adafruit.com/product/3297</t>
        </is>
      </c>
      <c r="G7" s="11" t="n">
        <v>5.95</v>
      </c>
      <c r="H7" s="8" t="inlineStr">
        <is>
          <t>listed</t>
        </is>
      </c>
      <c r="I7" s="9" t="inlineStr">
        <is>
          <t>VMOTOR from the 6 V regulator U7. BIN1/BIN2 tied to GND; BOUT1/BOUT2 unused.</t>
        </is>
      </c>
      <c r="J7" s="12">
        <f>B7*G7</f>
        <v/>
      </c>
    </row>
    <row r="8">
      <c r="A8" s="8" t="inlineStr">
        <is>
          <t>U5</t>
        </is>
      </c>
      <c r="B8" s="8" t="n">
        <v>1</v>
      </c>
      <c r="C8" s="9" t="inlineStr">
        <is>
          <t>Pololu D36V50F5 step-down regulator, 12 V to 5 V 5.5 A - Pi, displays, NeoPixels, amplifier</t>
        </is>
      </c>
      <c r="D8" s="8" t="inlineStr">
        <is>
          <t>Pololu 4091</t>
        </is>
      </c>
      <c r="E8" s="8" t="inlineStr">
        <is>
          <t>Pololu</t>
        </is>
      </c>
      <c r="F8" s="10" t="inlineStr">
        <is>
          <t>https://www.pololu.com/product/4091</t>
        </is>
      </c>
      <c r="G8" s="11" t="n">
        <v>39.95</v>
      </c>
      <c r="H8" s="8" t="inlineStr">
        <is>
          <t>listed</t>
        </is>
      </c>
      <c r="I8" s="9" t="inlineStr">
        <is>
          <t>Fed from the 12 V bus through fuse F3 (3 A). Pololu stock is rationed; order early.</t>
        </is>
      </c>
      <c r="J8" s="12">
        <f>B8*G8</f>
        <v/>
      </c>
    </row>
    <row r="9">
      <c r="A9" s="8" t="inlineStr">
        <is>
          <t>U6</t>
        </is>
      </c>
      <c r="B9" s="8" t="n">
        <v>1</v>
      </c>
      <c r="C9" s="9" t="inlineStr">
        <is>
          <t>Pololu D36V50F6 step-down regulator, 12 V to 6 V 5.5 A - motor rail A (drivers U1 and U3)</t>
        </is>
      </c>
      <c r="D9" s="8" t="inlineStr">
        <is>
          <t>Pololu 4092</t>
        </is>
      </c>
      <c r="E9" s="8" t="inlineStr">
        <is>
          <t>Pololu</t>
        </is>
      </c>
      <c r="F9" s="10" t="inlineStr">
        <is>
          <t>https://www.pololu.com/product/4092</t>
        </is>
      </c>
      <c r="G9" s="11" t="n">
        <v>39.95</v>
      </c>
      <c r="H9" s="8" t="inlineStr">
        <is>
          <t>listed</t>
        </is>
      </c>
      <c r="I9" s="9" t="inlineStr">
        <is>
          <t>Fed from the 12 V bus through fuse F4 (5 A). Four motors x 1 A limit = 4 A worst case.</t>
        </is>
      </c>
      <c r="J9" s="12">
        <f>B9*G9</f>
        <v/>
      </c>
    </row>
    <row r="10">
      <c r="A10" s="8" t="inlineStr">
        <is>
          <t>U7</t>
        </is>
      </c>
      <c r="B10" s="8" t="n">
        <v>1</v>
      </c>
      <c r="C10" s="9" t="inlineStr">
        <is>
          <t>Pololu D36V50F6 step-down regulator, 12 V to 6 V 5.5 A - motor rail B (drivers U2 and U4)</t>
        </is>
      </c>
      <c r="D10" s="8" t="inlineStr">
        <is>
          <t>Pololu 4092</t>
        </is>
      </c>
      <c r="E10" s="8" t="inlineStr">
        <is>
          <t>Pololu</t>
        </is>
      </c>
      <c r="F10" s="10" t="inlineStr">
        <is>
          <t>https://www.pololu.com/product/4092</t>
        </is>
      </c>
      <c r="G10" s="11" t="n">
        <v>39.95</v>
      </c>
      <c r="H10" s="8" t="inlineStr">
        <is>
          <t>listed</t>
        </is>
      </c>
      <c r="I10" s="9" t="inlineStr">
        <is>
          <t>Fed from the 12 V bus through fuse F5 (5 A). Three motors x 1 A limit = 3 A worst case.</t>
        </is>
      </c>
      <c r="J10" s="12">
        <f>B10*G10</f>
        <v/>
      </c>
    </row>
    <row r="11">
      <c r="A11" s="8" t="inlineStr">
        <is>
          <t>U8</t>
        </is>
      </c>
      <c r="B11" s="8" t="n">
        <v>1</v>
      </c>
      <c r="C11" s="9" t="inlineStr">
        <is>
          <t>PAM8302 mono class D amplifier, 2.5 W into 4 ohm - dome and body sound</t>
        </is>
      </c>
      <c r="D11" s="8" t="inlineStr">
        <is>
          <t>Adafruit 2130</t>
        </is>
      </c>
      <c r="E11" s="8" t="inlineStr">
        <is>
          <t>Adafruit</t>
        </is>
      </c>
      <c r="F11" s="10" t="inlineStr">
        <is>
          <t>https://www.adafruit.com/product/2130</t>
        </is>
      </c>
      <c r="G11" s="11" t="n">
        <v>3.95</v>
      </c>
      <c r="H11" s="8" t="inlineStr">
        <is>
          <t>listed</t>
        </is>
      </c>
      <c r="I11" s="9" t="inlineStr">
        <is>
          <t>Runs on the 5 V rail. Input is the Pi 3.5 mm jack, left and right summed through two 10 k resistors (R4).</t>
        </is>
      </c>
      <c r="J11" s="12">
        <f>B11*G11</f>
        <v/>
      </c>
    </row>
    <row r="12">
      <c r="A12" s="8" t="inlineStr">
        <is>
          <t>U9</t>
        </is>
      </c>
      <c r="B12" s="8" t="n">
        <v>1</v>
      </c>
      <c r="C12" s="9" t="inlineStr">
        <is>
          <t>ADS1115 16 bit 4 channel ADC, STEMMA QT - battery voltage sense</t>
        </is>
      </c>
      <c r="D12" s="8" t="inlineStr">
        <is>
          <t>Adafruit 1085</t>
        </is>
      </c>
      <c r="E12" s="8" t="inlineStr">
        <is>
          <t>Adafruit</t>
        </is>
      </c>
      <c r="F12" s="10" t="inlineStr">
        <is>
          <t>https://www.adafruit.com/product/1085</t>
        </is>
      </c>
      <c r="G12" s="11" t="n">
        <v>14.95</v>
      </c>
      <c r="H12" s="8" t="inlineStr">
        <is>
          <t>listed</t>
        </is>
      </c>
      <c r="I12" s="9" t="inlineStr">
        <is>
          <t>Address 0x48 on the Pi I2C-1 bus, single-ended input A0, read by firmware/pi/battery.py. Divider R2 (100 k top) over R3 (15 k bottom).</t>
        </is>
      </c>
      <c r="J12" s="12">
        <f>B12*G12</f>
        <v/>
      </c>
    </row>
    <row r="13">
      <c r="A13" s="8" t="inlineStr">
        <is>
          <t>SR1</t>
        </is>
      </c>
      <c r="B13" s="8" t="n">
        <v>1</v>
      </c>
      <c r="C13" s="9" t="inlineStr">
        <is>
          <t>Slip ring, 12 wire, 2 A per wire - dome power and signals</t>
        </is>
      </c>
      <c r="D13" s="8" t="inlineStr">
        <is>
          <t>Adafruit 1195 (Prosper SRC012C-12)</t>
        </is>
      </c>
      <c r="E13" s="8" t="inlineStr">
        <is>
          <t>Adafruit</t>
        </is>
      </c>
      <c r="F13" s="10" t="inlineStr">
        <is>
          <t>https://www.adafruit.com/product/1195</t>
        </is>
      </c>
      <c r="G13" s="11" t="n">
        <v>24.95</v>
      </c>
      <c r="H13" s="8" t="inlineStr">
        <is>
          <t>listed</t>
        </is>
      </c>
      <c r="I13" s="9" t="inlineStr">
        <is>
          <t>Body 12.4 mm dia x 19.5 mm, no flange; clamp in the printed post on the body top plate. 28 AWG leads about 150 mm each side.</t>
        </is>
      </c>
      <c r="J13" s="12">
        <f>B13*G13</f>
        <v/>
      </c>
    </row>
    <row r="14">
      <c r="A14" s="8" t="inlineStr">
        <is>
          <t>DS1</t>
        </is>
      </c>
      <c r="B14" s="8" t="n">
        <v>1</v>
      </c>
      <c r="C14" s="9" t="inlineStr">
        <is>
          <t>Mini 0.8 inch 8x8 LED matrix with I2C backpack, yellow-green - front logic, upper window</t>
        </is>
      </c>
      <c r="D14" s="8" t="inlineStr">
        <is>
          <t>Adafruit 872</t>
        </is>
      </c>
      <c r="E14" s="8" t="inlineStr">
        <is>
          <t>Adafruit</t>
        </is>
      </c>
      <c r="F14" s="10" t="inlineStr">
        <is>
          <t>https://www.adafruit.com/product/872</t>
        </is>
      </c>
      <c r="G14" s="11" t="n">
        <v>9.949999999999999</v>
      </c>
      <c r="H14" s="8" t="inlineStr">
        <is>
          <t>listed</t>
        </is>
      </c>
      <c r="I14" s="9" t="inlineStr">
        <is>
          <t>HT16K33 address 0x70: no address jumper bridged.</t>
        </is>
      </c>
      <c r="J14" s="12">
        <f>B14*G14</f>
        <v/>
      </c>
    </row>
    <row r="15">
      <c r="A15" s="8" t="inlineStr">
        <is>
          <t>DS2</t>
        </is>
      </c>
      <c r="B15" s="8" t="n">
        <v>1</v>
      </c>
      <c r="C15" s="9" t="inlineStr">
        <is>
          <t>Mini 0.8 inch 8x8 LED matrix with I2C backpack, yellow-green - front logic, lower window</t>
        </is>
      </c>
      <c r="D15" s="8" t="inlineStr">
        <is>
          <t>Adafruit 872</t>
        </is>
      </c>
      <c r="E15" s="8" t="inlineStr">
        <is>
          <t>Adafruit</t>
        </is>
      </c>
      <c r="F15" s="10" t="inlineStr">
        <is>
          <t>https://www.adafruit.com/product/872</t>
        </is>
      </c>
      <c r="G15" s="11" t="n">
        <v>9.949999999999999</v>
      </c>
      <c r="H15" s="8" t="inlineStr">
        <is>
          <t>listed</t>
        </is>
      </c>
      <c r="I15" s="9" t="inlineStr">
        <is>
          <t>HT16K33 address 0x71: bridge jumper A0.</t>
        </is>
      </c>
      <c r="J15" s="12">
        <f>B15*G15</f>
        <v/>
      </c>
    </row>
    <row r="16">
      <c r="A16" s="8" t="inlineStr">
        <is>
          <t>DS3</t>
        </is>
      </c>
      <c r="B16" s="8" t="n">
        <v>1</v>
      </c>
      <c r="C16" s="9" t="inlineStr">
        <is>
          <t>Mini 0.8 inch 8x8 LED matrix with I2C backpack, red - rear logic, left half</t>
        </is>
      </c>
      <c r="D16" s="8" t="inlineStr">
        <is>
          <t>Adafruit 870</t>
        </is>
      </c>
      <c r="E16" s="8" t="inlineStr">
        <is>
          <t>Adafruit</t>
        </is>
      </c>
      <c r="F16" s="10" t="inlineStr">
        <is>
          <t>https://www.adafruit.com/product/870</t>
        </is>
      </c>
      <c r="G16" s="11" t="n">
        <v>9.949999999999999</v>
      </c>
      <c r="H16" s="8" t="inlineStr">
        <is>
          <t>listed</t>
        </is>
      </c>
      <c r="I16" s="9" t="inlineStr">
        <is>
          <t>HT16K33 address 0x72: bridge jumper A1.</t>
        </is>
      </c>
      <c r="J16" s="12">
        <f>B16*G16</f>
        <v/>
      </c>
    </row>
    <row r="17">
      <c r="A17" s="8" t="inlineStr">
        <is>
          <t>DS4</t>
        </is>
      </c>
      <c r="B17" s="8" t="n">
        <v>1</v>
      </c>
      <c r="C17" s="9" t="inlineStr">
        <is>
          <t>Mini 0.8 inch 8x8 LED matrix with I2C backpack, red - rear logic, right half</t>
        </is>
      </c>
      <c r="D17" s="8" t="inlineStr">
        <is>
          <t>Adafruit 870</t>
        </is>
      </c>
      <c r="E17" s="8" t="inlineStr">
        <is>
          <t>Adafruit</t>
        </is>
      </c>
      <c r="F17" s="10" t="inlineStr">
        <is>
          <t>https://www.adafruit.com/product/870</t>
        </is>
      </c>
      <c r="G17" s="11" t="n">
        <v>9.949999999999999</v>
      </c>
      <c r="H17" s="8" t="inlineStr">
        <is>
          <t>listed</t>
        </is>
      </c>
      <c r="I17" s="9" t="inlineStr">
        <is>
          <t>HT16K33 address 0x73: bridge jumpers A0 and A1.</t>
        </is>
      </c>
      <c r="J17" s="12">
        <f>B17*G17</f>
        <v/>
      </c>
    </row>
    <row r="18">
      <c r="A18" s="8" t="inlineStr">
        <is>
          <t>DS5</t>
        </is>
      </c>
      <c r="B18" s="8" t="n">
        <v>1</v>
      </c>
      <c r="C18" s="9" t="inlineStr">
        <is>
          <t>1.28 inch 240x240 round TFT, GC9A01A, EYESPI - radar eye</t>
        </is>
      </c>
      <c r="D18" s="8" t="inlineStr">
        <is>
          <t>Adafruit 6178</t>
        </is>
      </c>
      <c r="E18" s="8" t="inlineStr">
        <is>
          <t>Adafruit</t>
        </is>
      </c>
      <c r="F18" s="10" t="inlineStr">
        <is>
          <t>https://www.adafruit.com/product/6178</t>
        </is>
      </c>
      <c r="G18" s="11" t="n">
        <v>17.5</v>
      </c>
      <c r="H18" s="8" t="inlineStr">
        <is>
          <t>listed</t>
        </is>
      </c>
      <c r="I18" s="9" t="inlineStr">
        <is>
          <t>Pi SPI0 through the slip ring. Backlight pin tied to 5 V through R1 (100 ohm) inside the dome.</t>
        </is>
      </c>
      <c r="J18" s="12">
        <f>B18*G18</f>
        <v/>
      </c>
    </row>
    <row r="19">
      <c r="A19" s="8" t="inlineStr">
        <is>
          <t>LED1</t>
        </is>
      </c>
      <c r="B19" s="8" t="n">
        <v>1</v>
      </c>
      <c r="C19" s="9" t="inlineStr">
        <is>
          <t>NeoPixel Jewel, 7 x 5050 RGB - front PSI</t>
        </is>
      </c>
      <c r="D19" s="8" t="inlineStr">
        <is>
          <t>Adafruit 2226</t>
        </is>
      </c>
      <c r="E19" s="8" t="inlineStr">
        <is>
          <t>Adafruit</t>
        </is>
      </c>
      <c r="F19" s="10" t="inlineStr">
        <is>
          <t>https://www.adafruit.com/product/2226</t>
        </is>
      </c>
      <c r="G19" s="11" t="n">
        <v>5.95</v>
      </c>
      <c r="H19" s="8" t="inlineStr">
        <is>
          <t>listed</t>
        </is>
      </c>
      <c r="I19" s="9" t="inlineStr">
        <is>
          <t>Chain positions 0-6. Data in from slip ring wire 5, data out to LED2.</t>
        </is>
      </c>
      <c r="J19" s="12">
        <f>B19*G19</f>
        <v/>
      </c>
    </row>
    <row r="20">
      <c r="A20" s="8" t="inlineStr">
        <is>
          <t>LED2</t>
        </is>
      </c>
      <c r="B20" s="8" t="n">
        <v>1</v>
      </c>
      <c r="C20" s="9" t="inlineStr">
        <is>
          <t>NeoPixel Jewel, 7 x 5050 RGB - rear PSI</t>
        </is>
      </c>
      <c r="D20" s="8" t="inlineStr">
        <is>
          <t>Adafruit 2226</t>
        </is>
      </c>
      <c r="E20" s="8" t="inlineStr">
        <is>
          <t>Adafruit</t>
        </is>
      </c>
      <c r="F20" s="10" t="inlineStr">
        <is>
          <t>https://www.adafruit.com/product/2226</t>
        </is>
      </c>
      <c r="G20" s="11" t="n">
        <v>5.95</v>
      </c>
      <c r="H20" s="8" t="inlineStr">
        <is>
          <t>listed</t>
        </is>
      </c>
      <c r="I20" s="9" t="inlineStr">
        <is>
          <t>Chain positions 7-13. Data out to LED3.</t>
        </is>
      </c>
      <c r="J20" s="12">
        <f>B20*G20</f>
        <v/>
      </c>
    </row>
    <row r="21">
      <c r="A21" s="8" t="inlineStr">
        <is>
          <t>LED3-LED5</t>
        </is>
      </c>
      <c r="B21" s="8" t="n">
        <v>1</v>
      </c>
      <c r="C21" s="9" t="inlineStr">
        <is>
          <t>Diffused 8 mm through-hole NeoPixels, pack of 5 - holoprojectors HP1, HP2, HP3</t>
        </is>
      </c>
      <c r="D21" s="8" t="inlineStr">
        <is>
          <t>Adafruit 1734</t>
        </is>
      </c>
      <c r="E21" s="8" t="inlineStr">
        <is>
          <t>Adafruit</t>
        </is>
      </c>
      <c r="F21" s="10" t="inlineStr">
        <is>
          <t>https://www.adafruit.com/product/1734</t>
        </is>
      </c>
      <c r="G21" s="11" t="n">
        <v>4.95</v>
      </c>
      <c r="H21" s="8" t="inlineStr">
        <is>
          <t>listed</t>
        </is>
      </c>
      <c r="I21" s="9" t="inlineStr">
        <is>
          <t>Three used, two spare; chain positions 14-16. Page reads Out of stock on 2026-09-12; alternate is Adafruit 1655 (5050 with driver, 10 pack, $4.50) on a hand-made carrier.</t>
        </is>
      </c>
      <c r="J21" s="12">
        <f>B21*G21</f>
        <v/>
      </c>
    </row>
    <row r="22">
      <c r="A22" s="8" t="inlineStr">
        <is>
          <t>LS1</t>
        </is>
      </c>
      <c r="B22" s="8" t="n">
        <v>1</v>
      </c>
      <c r="C22" s="9" t="inlineStr">
        <is>
          <t>Speaker, 3 inch, 4 ohm 3 W - behind the front vent</t>
        </is>
      </c>
      <c r="D22" s="8" t="inlineStr">
        <is>
          <t>Adafruit 1314</t>
        </is>
      </c>
      <c r="E22" s="8" t="inlineStr">
        <is>
          <t>Adafruit</t>
        </is>
      </c>
      <c r="F22" s="10" t="inlineStr">
        <is>
          <t>https://www.adafruit.com/product/1314</t>
        </is>
      </c>
      <c r="G22" s="11" t="n">
        <v>1.95</v>
      </c>
      <c r="H22" s="8" t="inlineStr">
        <is>
          <t>listed</t>
        </is>
      </c>
      <c r="I22" s="9" t="inlineStr">
        <is>
          <t>Page reads Out of stock on 2026-09-12. Noted alternate: Adafruit 1313, 3 inch 8 ohm 1 W, $1.95, same 77.8 mm footprint and 60 mm tab spacing, about half the output.</t>
        </is>
      </c>
      <c r="J22" s="12">
        <f>B22*G22</f>
        <v/>
      </c>
    </row>
    <row r="23">
      <c r="A23" s="8" t="inlineStr">
        <is>
          <t>M1</t>
        </is>
      </c>
      <c r="B23" s="8" t="n">
        <v>1</v>
      </c>
      <c r="C23" s="9" t="inlineStr">
        <is>
          <t>TT gearmotor 1:48, 3-6 V - left foot, front</t>
        </is>
      </c>
      <c r="D23" s="8" t="inlineStr">
        <is>
          <t>Adafruit 3777</t>
        </is>
      </c>
      <c r="E23" s="8" t="inlineStr">
        <is>
          <t>Adafruit</t>
        </is>
      </c>
      <c r="F23" s="10" t="inlineStr">
        <is>
          <t>https://www.adafruit.com/product/3777</t>
        </is>
      </c>
      <c r="G23" s="11" t="n">
        <v>2.95</v>
      </c>
      <c r="H23" s="8" t="inlineStr">
        <is>
          <t>listed</t>
        </is>
      </c>
      <c r="I23" s="9" t="inlineStr">
        <is>
          <t>Driver U1 channel A. 22 AWG extension to a JST-XH pair at the driver.</t>
        </is>
      </c>
      <c r="J23" s="12">
        <f>B23*G23</f>
        <v/>
      </c>
    </row>
    <row r="24">
      <c r="A24" s="8" t="inlineStr">
        <is>
          <t>M2</t>
        </is>
      </c>
      <c r="B24" s="8" t="n">
        <v>1</v>
      </c>
      <c r="C24" s="9" t="inlineStr">
        <is>
          <t>TT gearmotor 1:48, 3-6 V - left foot, rear</t>
        </is>
      </c>
      <c r="D24" s="8" t="inlineStr">
        <is>
          <t>Adafruit 3777</t>
        </is>
      </c>
      <c r="E24" s="8" t="inlineStr">
        <is>
          <t>Adafruit</t>
        </is>
      </c>
      <c r="F24" s="10" t="inlineStr">
        <is>
          <t>https://www.adafruit.com/product/3777</t>
        </is>
      </c>
      <c r="G24" s="11" t="n">
        <v>2.95</v>
      </c>
      <c r="H24" s="8" t="inlineStr">
        <is>
          <t>listed</t>
        </is>
      </c>
      <c r="I24" s="9" t="inlineStr">
        <is>
          <t>Driver U1 channel B.</t>
        </is>
      </c>
      <c r="J24" s="12">
        <f>B24*G24</f>
        <v/>
      </c>
    </row>
    <row r="25">
      <c r="A25" s="8" t="inlineStr">
        <is>
          <t>M3</t>
        </is>
      </c>
      <c r="B25" s="8" t="n">
        <v>1</v>
      </c>
      <c r="C25" s="9" t="inlineStr">
        <is>
          <t>TT gearmotor 1:48, 3-6 V - right foot, front</t>
        </is>
      </c>
      <c r="D25" s="8" t="inlineStr">
        <is>
          <t>Adafruit 3777</t>
        </is>
      </c>
      <c r="E25" s="8" t="inlineStr">
        <is>
          <t>Adafruit</t>
        </is>
      </c>
      <c r="F25" s="10" t="inlineStr">
        <is>
          <t>https://www.adafruit.com/product/3777</t>
        </is>
      </c>
      <c r="G25" s="11" t="n">
        <v>2.95</v>
      </c>
      <c r="H25" s="8" t="inlineStr">
        <is>
          <t>listed</t>
        </is>
      </c>
      <c r="I25" s="9" t="inlineStr">
        <is>
          <t>Driver U2 channel A.</t>
        </is>
      </c>
      <c r="J25" s="12">
        <f>B25*G25</f>
        <v/>
      </c>
    </row>
    <row r="26">
      <c r="A26" s="8" t="inlineStr">
        <is>
          <t>M4</t>
        </is>
      </c>
      <c r="B26" s="8" t="n">
        <v>1</v>
      </c>
      <c r="C26" s="9" t="inlineStr">
        <is>
          <t>TT gearmotor 1:48, 3-6 V - right foot, rear</t>
        </is>
      </c>
      <c r="D26" s="8" t="inlineStr">
        <is>
          <t>Adafruit 3777</t>
        </is>
      </c>
      <c r="E26" s="8" t="inlineStr">
        <is>
          <t>Adafruit</t>
        </is>
      </c>
      <c r="F26" s="10" t="inlineStr">
        <is>
          <t>https://www.adafruit.com/product/3777</t>
        </is>
      </c>
      <c r="G26" s="11" t="n">
        <v>2.95</v>
      </c>
      <c r="H26" s="8" t="inlineStr">
        <is>
          <t>listed</t>
        </is>
      </c>
      <c r="I26" s="9" t="inlineStr">
        <is>
          <t>Driver U2 channel B.</t>
        </is>
      </c>
      <c r="J26" s="12">
        <f>B26*G26</f>
        <v/>
      </c>
    </row>
    <row r="27">
      <c r="A27" s="8" t="inlineStr">
        <is>
          <t>M5</t>
        </is>
      </c>
      <c r="B27" s="8" t="n">
        <v>1</v>
      </c>
      <c r="C27" s="9" t="inlineStr">
        <is>
          <t>TT gearmotor 1:48, 3-6 V - centre foot, front</t>
        </is>
      </c>
      <c r="D27" s="8" t="inlineStr">
        <is>
          <t>Adafruit 3777</t>
        </is>
      </c>
      <c r="E27" s="8" t="inlineStr">
        <is>
          <t>Adafruit</t>
        </is>
      </c>
      <c r="F27" s="10" t="inlineStr">
        <is>
          <t>https://www.adafruit.com/product/3777</t>
        </is>
      </c>
      <c r="G27" s="11" t="n">
        <v>2.95</v>
      </c>
      <c r="H27" s="8" t="inlineStr">
        <is>
          <t>listed</t>
        </is>
      </c>
      <c r="I27" s="9" t="inlineStr">
        <is>
          <t>Driver U3 channel A.</t>
        </is>
      </c>
      <c r="J27" s="12">
        <f>B27*G27</f>
        <v/>
      </c>
    </row>
    <row r="28">
      <c r="A28" s="8" t="inlineStr">
        <is>
          <t>M6</t>
        </is>
      </c>
      <c r="B28" s="8" t="n">
        <v>1</v>
      </c>
      <c r="C28" s="9" t="inlineStr">
        <is>
          <t>TT gearmotor 1:48, 3-6 V - centre foot, rear</t>
        </is>
      </c>
      <c r="D28" s="8" t="inlineStr">
        <is>
          <t>Adafruit 3777</t>
        </is>
      </c>
      <c r="E28" s="8" t="inlineStr">
        <is>
          <t>Adafruit</t>
        </is>
      </c>
      <c r="F28" s="10" t="inlineStr">
        <is>
          <t>https://www.adafruit.com/product/3777</t>
        </is>
      </c>
      <c r="G28" s="11" t="n">
        <v>2.95</v>
      </c>
      <c r="H28" s="8" t="inlineStr">
        <is>
          <t>listed</t>
        </is>
      </c>
      <c r="I28" s="9" t="inlineStr">
        <is>
          <t>Driver U3 channel B.</t>
        </is>
      </c>
      <c r="J28" s="12">
        <f>B28*G28</f>
        <v/>
      </c>
    </row>
    <row r="29">
      <c r="A29" s="8" t="inlineStr">
        <is>
          <t>M7</t>
        </is>
      </c>
      <c r="B29" s="8" t="n">
        <v>1</v>
      </c>
      <c r="C29" s="9" t="inlineStr">
        <is>
          <t>TT gearmotor 1:48, 3-6 V - head friction drive</t>
        </is>
      </c>
      <c r="D29" s="8" t="inlineStr">
        <is>
          <t>Adafruit 3777</t>
        </is>
      </c>
      <c r="E29" s="8" t="inlineStr">
        <is>
          <t>Adafruit</t>
        </is>
      </c>
      <c r="F29" s="10" t="inlineStr">
        <is>
          <t>https://www.adafruit.com/product/3777</t>
        </is>
      </c>
      <c r="G29" s="11" t="n">
        <v>2.95</v>
      </c>
      <c r="H29" s="8" t="inlineStr">
        <is>
          <t>listed</t>
        </is>
      </c>
      <c r="I29" s="9" t="inlineStr">
        <is>
          <t>Driver U4 channel A, under the body top plate on the tensioned mount.</t>
        </is>
      </c>
      <c r="J29" s="12">
        <f>B29*G29</f>
        <v/>
      </c>
    </row>
    <row r="30">
      <c r="A30" s="8" t="inlineStr">
        <is>
          <t>W1-W14</t>
        </is>
      </c>
      <c r="B30" s="8" t="n">
        <v>14</v>
      </c>
      <c r="C30" s="9" t="inlineStr">
        <is>
          <t>Orange wheel for TT motor, 63 x 29 mm</t>
        </is>
      </c>
      <c r="D30" s="8" t="inlineStr">
        <is>
          <t>Adafruit 3766</t>
        </is>
      </c>
      <c r="E30" s="8" t="inlineStr">
        <is>
          <t>Adafruit</t>
        </is>
      </c>
      <c r="F30" s="10" t="inlineStr">
        <is>
          <t>https://www.adafruit.com/product/3766</t>
        </is>
      </c>
      <c r="G30" s="11" t="n">
        <v>1.5</v>
      </c>
      <c r="H30" s="8" t="inlineStr">
        <is>
          <t>listed</t>
        </is>
      </c>
      <c r="I30" s="9" t="inlineStr">
        <is>
          <t>Thirteen used (four per foot, one on the head drive) and one spare. Page reads Out of stock on 2026-09-12.</t>
        </is>
      </c>
      <c r="J30" s="12">
        <f>B30*G30</f>
        <v/>
      </c>
    </row>
    <row r="31">
      <c r="A31" s="8" t="inlineStr">
        <is>
          <t>BT1</t>
        </is>
      </c>
      <c r="B31" s="8" t="n">
        <v>1</v>
      </c>
      <c r="C31" s="9" t="inlineStr">
        <is>
          <t>Battery, 12 V 7 Ah sealed lead acid, F2 terminals</t>
        </is>
      </c>
      <c r="D31" s="8" t="inlineStr">
        <is>
          <t>Power-Sonic PS-1270 F2</t>
        </is>
      </c>
      <c r="E31" s="8" t="inlineStr">
        <is>
          <t>TRC Electronics</t>
        </is>
      </c>
      <c r="F31" s="10" t="inlineStr">
        <is>
          <t>https://www.trcelectronics.com/products/powersonic-ps-1270-f2</t>
        </is>
      </c>
      <c r="G31" s="11" t="n">
        <v>19</v>
      </c>
      <c r="H31" s="8" t="inlineStr">
        <is>
          <t>listed</t>
        </is>
      </c>
      <c r="I31" s="9" t="inlineStr">
        <is>
          <t>151 x 65 x 94 mm, 100 mm over the terminals, about 2 kg. Sits on the shelf in body_lower, strapped. Never charge it inverted.</t>
        </is>
      </c>
      <c r="J31" s="12">
        <f>B31*G31</f>
        <v/>
      </c>
    </row>
    <row r="32">
      <c r="A32" s="8" t="inlineStr">
        <is>
          <t>G1</t>
        </is>
      </c>
      <c r="B32" s="8" t="n">
        <v>1</v>
      </c>
      <c r="C32" s="9" t="inlineStr">
        <is>
          <t>SLA charger, 3 stage, 12 V 1.5 A, 5.5 x 2.1 mm centre-positive barrel plug</t>
        </is>
      </c>
      <c r="D32" s="8" t="inlineStr">
        <is>
          <t>PowerStream PST-P2012-A12B</t>
        </is>
      </c>
      <c r="E32" s="8" t="inlineStr">
        <is>
          <t>PowerStream</t>
        </is>
      </c>
      <c r="F32" s="10" t="inlineStr">
        <is>
          <t>https://www.powerstream.com/12V-car-charger.htm</t>
        </is>
      </c>
      <c r="G32" s="11" t="n">
        <v>22</v>
      </c>
      <c r="H32" s="8" t="inlineStr">
        <is>
          <t>listed</t>
        </is>
      </c>
      <c r="I32" s="9" t="inlineStr">
        <is>
          <t>Bulk 1.5 A, absorb 14.75 V, float 13.75 V. External; it plugs into J1 with the robot switched off.</t>
        </is>
      </c>
      <c r="J32" s="12">
        <f>B32*G32</f>
        <v/>
      </c>
    </row>
    <row r="33">
      <c r="A33" s="8" t="inlineStr">
        <is>
          <t>J1</t>
        </is>
      </c>
      <c r="B33" s="8" t="n">
        <v>1</v>
      </c>
      <c r="C33" s="9" t="inlineStr">
        <is>
          <t>Panel charge jack, 5.5 mm OD barrel, threaded bushing</t>
        </is>
      </c>
      <c r="D33" s="8" t="inlineStr">
        <is>
          <t>Switchcraft L722A (DigiKey SC1151-ND)</t>
        </is>
      </c>
      <c r="E33" s="8" t="inlineStr">
        <is>
          <t>DigiKey</t>
        </is>
      </c>
      <c r="F33" s="10" t="inlineStr">
        <is>
          <t>https://www.digikey.com/en/products/detail/switchcraft-inc/L722A/241928</t>
        </is>
      </c>
      <c r="G33" s="11" t="n">
        <v>6.65</v>
      </c>
      <c r="H33" s="8" t="inlineStr">
        <is>
          <t>listed</t>
        </is>
      </c>
      <c r="I33" s="9" t="inlineStr">
        <is>
          <t>Rated 5 A 48 V. Mounts in the rear lower band of body_lower. Wired to the battery side of SW1 through fuse F2, so it charges with the robot off.</t>
        </is>
      </c>
      <c r="J33" s="12">
        <f>B33*G33</f>
        <v/>
      </c>
    </row>
    <row r="34">
      <c r="A34" s="8" t="inlineStr">
        <is>
          <t>SW1</t>
        </is>
      </c>
      <c r="B34" s="8" t="n">
        <v>1</v>
      </c>
      <c r="C34" s="9" t="inlineStr">
        <is>
          <t>Main power switch, SPST rocker, 20 A 12 V DC, snap-in</t>
        </is>
      </c>
      <c r="D34" s="8" t="inlineStr">
        <is>
          <t>Carling V1D2S00B-GZCXX-1XX-XFWD1</t>
        </is>
      </c>
      <c r="E34" s="8" t="inlineStr">
        <is>
          <t>DigiKey</t>
        </is>
      </c>
      <c r="F34" s="10" t="inlineStr">
        <is>
          <t>https://www.digikey.com/en/products/detail/carling-technologies/V1D2S00B-GZCXX-1XX-XFWD1/11587384</t>
        </is>
      </c>
      <c r="G34" s="11" t="n">
        <v>8.630000000000001</v>
      </c>
      <c r="H34" s="8" t="inlineStr">
        <is>
          <t>listed</t>
        </is>
      </c>
      <c r="I34" s="9" t="inlineStr">
        <is>
          <t>Panel cutout 36.83 x 21.08 mm in the rear lower band, beside J1. 0.250 inch quick-connect terminals.</t>
        </is>
      </c>
      <c r="J34" s="12">
        <f>B34*G34</f>
        <v/>
      </c>
    </row>
    <row r="35">
      <c r="A35" s="8" t="inlineStr">
        <is>
          <t>FH1-FH6</t>
        </is>
      </c>
      <c r="B35" s="8" t="n">
        <v>6</v>
      </c>
      <c r="C35" s="9" t="inlineStr">
        <is>
          <t>In-line ATO/ATC blade fuse holder, 20 A 32 V, 16 AWG leads</t>
        </is>
      </c>
      <c r="D35" s="8" t="inlineStr">
        <is>
          <t>Littelfuse FHAC0001ZXJ (DigiKey F3209-ND)</t>
        </is>
      </c>
      <c r="E35" s="8" t="inlineStr">
        <is>
          <t>DigiKey</t>
        </is>
      </c>
      <c r="F35" s="10" t="inlineStr">
        <is>
          <t>https://www.digikey.com/en/products/detail/littelfuse-commercial-vehicle-products/FHAC0001ZXJ/2004062</t>
        </is>
      </c>
      <c r="G35" s="11" t="n">
        <v>7.37</v>
      </c>
      <c r="H35" s="8" t="inlineStr">
        <is>
          <t>listed</t>
        </is>
      </c>
      <c r="I35" s="9" t="inlineStr">
        <is>
          <t>Six: FH1 main 15 A, FH2 charge 3 A, FH3 Pi rail 3 A, FH4 motor rail A 5 A, FH5 motor rail B 5 A, FH6 dome 5 V feed 2 A. The design brief listed five and left the dome holder out; the dome fuse needs its own holder.</t>
        </is>
      </c>
      <c r="J35" s="12">
        <f>B35*G35</f>
        <v/>
      </c>
    </row>
    <row r="36">
      <c r="A36" s="8" t="inlineStr">
        <is>
          <t>F1</t>
        </is>
      </c>
      <c r="B36" s="8" t="n">
        <v>1</v>
      </c>
      <c r="C36" s="9" t="inlineStr">
        <is>
          <t>Fuse, ATO blade, 15 A 32 V - main, at the battery positive lead</t>
        </is>
      </c>
      <c r="D36" s="8" t="inlineStr">
        <is>
          <t>Littelfuse 0287015.PXCN</t>
        </is>
      </c>
      <c r="E36" s="8" t="inlineStr">
        <is>
          <t>DigiKey</t>
        </is>
      </c>
      <c r="F36" s="10" t="inlineStr">
        <is>
          <t>https://www.digikey.com/en/products/detail/littelfuse-inc/0287015.PXCN/2519816</t>
        </is>
      </c>
      <c r="G36" s="11" t="n">
        <v>0.44</v>
      </c>
      <c r="H36" s="8" t="inlineStr">
        <is>
          <t>listed</t>
        </is>
      </c>
      <c r="I36" s="9" t="inlineStr">
        <is>
          <t>Within 100 mm of the battery terminal. Buy spares; they cost $0.44 each.</t>
        </is>
      </c>
      <c r="J36" s="12">
        <f>B36*G36</f>
        <v/>
      </c>
    </row>
    <row r="37">
      <c r="A37" s="8" t="inlineStr">
        <is>
          <t>F2</t>
        </is>
      </c>
      <c r="B37" s="8" t="n">
        <v>1</v>
      </c>
      <c r="C37" s="9" t="inlineStr">
        <is>
          <t>Fuse, ATO blade, 3 A 32 V - charge port branch</t>
        </is>
      </c>
      <c r="D37" s="8" t="inlineStr">
        <is>
          <t>Littelfuse 0287003.PXCN</t>
        </is>
      </c>
      <c r="E37" s="8" t="inlineStr">
        <is>
          <t>DigiKey</t>
        </is>
      </c>
      <c r="F37" s="10" t="inlineStr">
        <is>
          <t>https://www.digikey.com/en/products/detail/littelfuse-inc/0287003-PXCN/3102553</t>
        </is>
      </c>
      <c r="G37" s="11" t="n">
        <v>0.44</v>
      </c>
      <c r="H37" s="8" t="inlineStr">
        <is>
          <t>listed</t>
        </is>
      </c>
      <c r="I37" s="9" t="inlineStr">
        <is>
          <t>Charger delivers 1.5 A maximum.</t>
        </is>
      </c>
      <c r="J37" s="12">
        <f>B37*G37</f>
        <v/>
      </c>
    </row>
    <row r="38">
      <c r="A38" s="8" t="inlineStr">
        <is>
          <t>F3</t>
        </is>
      </c>
      <c r="B38" s="8" t="n">
        <v>1</v>
      </c>
      <c r="C38" s="9" t="inlineStr">
        <is>
          <t>Fuse, ATO blade, 3 A 32 V - 5 V regulator input</t>
        </is>
      </c>
      <c r="D38" s="8" t="inlineStr">
        <is>
          <t>Littelfuse 0287003.PXCN</t>
        </is>
      </c>
      <c r="E38" s="8" t="inlineStr">
        <is>
          <t>DigiKey</t>
        </is>
      </c>
      <c r="F38" s="10" t="inlineStr">
        <is>
          <t>https://www.digikey.com/en/products/detail/littelfuse-inc/0287003-PXCN/3102553</t>
        </is>
      </c>
      <c r="G38" s="11" t="n">
        <v>0.44</v>
      </c>
      <c r="H38" s="8" t="inlineStr">
        <is>
          <t>listed</t>
        </is>
      </c>
      <c r="I38" s="9" t="inlineStr">
        <is>
          <t>Measured 12 V draw of the 5 V rail is 0.65 A idle, 1.4 A worst case.</t>
        </is>
      </c>
      <c r="J38" s="12">
        <f>B38*G38</f>
        <v/>
      </c>
    </row>
    <row r="39">
      <c r="A39" s="8" t="inlineStr">
        <is>
          <t>F4</t>
        </is>
      </c>
      <c r="B39" s="8" t="n">
        <v>1</v>
      </c>
      <c r="C39" s="9" t="inlineStr">
        <is>
          <t>Fuse, ATO blade, 5 A 32 V - 6 V motor rail A input</t>
        </is>
      </c>
      <c r="D39" s="8" t="inlineStr">
        <is>
          <t>Littelfuse 0287005.PXCN</t>
        </is>
      </c>
      <c r="E39" s="8" t="inlineStr">
        <is>
          <t>DigiKey</t>
        </is>
      </c>
      <c r="F39" s="10" t="inlineStr">
        <is>
          <t>https://www.digikey.com/en/products/detail/littelfuse-inc/0287005-PXCN/2519811</t>
        </is>
      </c>
      <c r="G39" s="11" t="n">
        <v>0.44</v>
      </c>
      <c r="H39" s="8" t="inlineStr">
        <is>
          <t>listed</t>
        </is>
      </c>
      <c r="I39" s="9" t="inlineStr">
        <is>
          <t>Four motors at the DRV8833 1 A limit is 24 W, 2.2 A from 12 V.</t>
        </is>
      </c>
      <c r="J39" s="12">
        <f>B39*G39</f>
        <v/>
      </c>
    </row>
    <row r="40">
      <c r="A40" s="8" t="inlineStr">
        <is>
          <t>F5</t>
        </is>
      </c>
      <c r="B40" s="8" t="n">
        <v>1</v>
      </c>
      <c r="C40" s="9" t="inlineStr">
        <is>
          <t>Fuse, ATO blade, 5 A 32 V - 6 V motor rail B input</t>
        </is>
      </c>
      <c r="D40" s="8" t="inlineStr">
        <is>
          <t>Littelfuse 0287005.PXCN</t>
        </is>
      </c>
      <c r="E40" s="8" t="inlineStr">
        <is>
          <t>DigiKey</t>
        </is>
      </c>
      <c r="F40" s="10" t="inlineStr">
        <is>
          <t>https://www.digikey.com/en/products/detail/littelfuse-inc/0287005-PXCN/2519811</t>
        </is>
      </c>
      <c r="G40" s="11" t="n">
        <v>0.44</v>
      </c>
      <c r="H40" s="8" t="inlineStr">
        <is>
          <t>listed</t>
        </is>
      </c>
      <c r="I40" s="9" t="inlineStr">
        <is>
          <t>Three motors at the 1 A limit is 18 W, 1.7 A from 12 V.</t>
        </is>
      </c>
      <c r="J40" s="12">
        <f>B40*G40</f>
        <v/>
      </c>
    </row>
    <row r="41">
      <c r="A41" s="8" t="inlineStr">
        <is>
          <t>F6</t>
        </is>
      </c>
      <c r="B41" s="8" t="n">
        <v>1</v>
      </c>
      <c r="C41" s="9" t="inlineStr">
        <is>
          <t>Fuse, ATO blade, 2 A 32 V - dome 5 V feed through the slip ring</t>
        </is>
      </c>
      <c r="D41" s="8" t="inlineStr">
        <is>
          <t>Littelfuse 0287002.PXCN</t>
        </is>
      </c>
      <c r="E41" s="8" t="inlineStr">
        <is>
          <t>DigiKey</t>
        </is>
      </c>
      <c r="F41" s="10" t="inlineStr">
        <is>
          <t>https://www.digikey.com/en/products/detail/littelfuse-inc/0287002-PXCN/3102552</t>
        </is>
      </c>
      <c r="G41" s="11" t="n">
        <v>0.44</v>
      </c>
      <c r="H41" s="8" t="inlineStr">
        <is>
          <t>listed</t>
        </is>
      </c>
      <c r="I41" s="9" t="inlineStr">
        <is>
          <t>Dome worst case is 1.6 A (17 NeoPixels at 60 mA, four matrices, one TFT). Two slip-ring wires carry the 5 V, two carry the return.</t>
        </is>
      </c>
      <c r="J41" s="12">
        <f>B41*G41</f>
        <v/>
      </c>
    </row>
    <row r="42">
      <c r="A42" s="8" t="inlineStr">
        <is>
          <t>TB1</t>
        </is>
      </c>
      <c r="B42" s="8" t="n">
        <v>6</v>
      </c>
      <c r="C42" s="9" t="inlineStr">
        <is>
          <t>F2 female spade terminal, 0.250 inch, insulated crimp, 14-16 AWG</t>
        </is>
      </c>
      <c r="D42" s="8" t="inlineStr">
        <is>
          <t>TE 3-520408-2</t>
        </is>
      </c>
      <c r="E42" s="8" t="inlineStr">
        <is>
          <t>DigiKey</t>
        </is>
      </c>
      <c r="F42" s="10" t="inlineStr">
        <is>
          <t>https://www.digikey.com/en/products/detail/te-connectivity-amp-connectors/3-520408-2/14800982</t>
        </is>
      </c>
      <c r="G42" s="11" t="n">
        <v>0.59</v>
      </c>
      <c r="H42" s="8" t="inlineStr">
        <is>
          <t>listed</t>
        </is>
      </c>
      <c r="I42" s="9" t="inlineStr">
        <is>
          <t>Two on the battery, two on SW1, two spare.</t>
        </is>
      </c>
      <c r="J42" s="12">
        <f>B42*G42</f>
        <v/>
      </c>
    </row>
    <row r="43">
      <c r="A43" s="8" t="inlineStr">
        <is>
          <t>WR1</t>
        </is>
      </c>
      <c r="B43" s="8" t="n">
        <v>1</v>
      </c>
      <c r="C43" s="9" t="inlineStr">
        <is>
          <t>Silicone wire, 16 AWG, red and black, 25 ft each colour</t>
        </is>
      </c>
      <c r="D43" s="8" t="inlineStr">
        <is>
          <t>BNTECHGO 16 AWG 50 ft kit</t>
        </is>
      </c>
      <c r="E43" s="8" t="inlineStr">
        <is>
          <t>BNTECHGO</t>
        </is>
      </c>
      <c r="F43" s="10" t="inlineStr">
        <is>
          <t>https://bntechgo.com/bntechgo-16-gauge-silicone-wire-kit-ultra-flexible-50-ft-black-and-red-each-color-25-ft-high-temp-200-c-600v-16-awg-silicone-wire-252-strands-of-tinned-copper-wire-stranded-wire-stranded-wire-for-model-battery/</t>
        </is>
      </c>
      <c r="G43" s="11" t="n">
        <v>19.68</v>
      </c>
      <c r="H43" s="8" t="inlineStr">
        <is>
          <t>listed</t>
        </is>
      </c>
      <c r="I43" s="9" t="inlineStr">
        <is>
          <t>Battery, switch, fuse and regulator input runs. 22 A chassis rating.</t>
        </is>
      </c>
      <c r="J43" s="12">
        <f>B43*G43</f>
        <v/>
      </c>
    </row>
    <row r="44">
      <c r="A44" s="8" t="inlineStr">
        <is>
          <t>WR2</t>
        </is>
      </c>
      <c r="B44" s="8" t="n">
        <v>1</v>
      </c>
      <c r="C44" s="9" t="inlineStr">
        <is>
          <t>Silicone wire, 22 AWG, six colours, 30 ft each</t>
        </is>
      </c>
      <c r="D44" s="8" t="inlineStr">
        <is>
          <t>BNTECHGO 22 AWG 6 colour kit</t>
        </is>
      </c>
      <c r="E44" s="8" t="inlineStr">
        <is>
          <t>BNTECHGO</t>
        </is>
      </c>
      <c r="F44" s="10" t="inlineStr">
        <is>
          <t>https://bntechgo.com/bntechgo-22-gauge-silicone-wire-kit-ultra-flexible-6-colors-each-30-ft-high-temp-200-c-600v-22-awg-silicone-wire-60-strands-of-tinned-copper-wire-stranded-wire-for-model-battery/</t>
        </is>
      </c>
      <c r="G44" s="11" t="n">
        <v>19.68</v>
      </c>
      <c r="H44" s="8" t="inlineStr">
        <is>
          <t>listed</t>
        </is>
      </c>
      <c r="I44" s="9" t="inlineStr">
        <is>
          <t>Motor extensions, 5 V and 6 V branches, display and NeoPixel signals. 7 A chassis rating.</t>
        </is>
      </c>
      <c r="J44" s="12">
        <f>B44*G44</f>
        <v/>
      </c>
    </row>
    <row r="45">
      <c r="A45" s="8" t="inlineStr">
        <is>
          <t>J2-J9</t>
        </is>
      </c>
      <c r="B45" s="8" t="n">
        <v>8</v>
      </c>
      <c r="C45" s="9" t="inlineStr">
        <is>
          <t>JST-XH 2 pin cable matching pair, 2.5 mm pitch, 200 mm</t>
        </is>
      </c>
      <c r="D45" s="8" t="inlineStr">
        <is>
          <t>Adafruit 4872</t>
        </is>
      </c>
      <c r="E45" s="8" t="inlineStr">
        <is>
          <t>Adafruit</t>
        </is>
      </c>
      <c r="F45" s="10" t="inlineStr">
        <is>
          <t>https://www.adafruit.com/product/4872</t>
        </is>
      </c>
      <c r="G45" s="11" t="n">
        <v>0.95</v>
      </c>
      <c r="H45" s="8" t="inlineStr">
        <is>
          <t>listed</t>
        </is>
      </c>
      <c r="I45" s="9" t="inlineStr">
        <is>
          <t>Seven motor connections plus one spare. Male half at the driver, female half on the motor lead.</t>
        </is>
      </c>
      <c r="J45" s="12">
        <f>B45*G45</f>
        <v/>
      </c>
    </row>
    <row r="46">
      <c r="A46" s="8" t="inlineStr">
        <is>
          <t>J10</t>
        </is>
      </c>
      <c r="B46" s="8" t="n">
        <v>4</v>
      </c>
      <c r="C46" s="9" t="inlineStr">
        <is>
          <t>Anderson Powerpole 15-45 A housing (two red, two black)</t>
        </is>
      </c>
      <c r="D46" s="8" t="inlineStr">
        <is>
          <t>Anderson 1327-BK</t>
        </is>
      </c>
      <c r="E46" s="8" t="inlineStr">
        <is>
          <t>DigiKey</t>
        </is>
      </c>
      <c r="F46" s="10" t="inlineStr">
        <is>
          <t>https://www.digikey.com/en/products/detail/anderson-power-products-inc/1327-BK/10650475</t>
        </is>
      </c>
      <c r="G46" s="11" t="n">
        <v>0.64</v>
      </c>
      <c r="H46" s="8" t="inlineStr">
        <is>
          <t>listed</t>
        </is>
      </c>
      <c r="I46" s="9" t="inlineStr">
        <is>
          <t>One stacked pair on the battery lead and one on the harness side.</t>
        </is>
      </c>
      <c r="J46" s="12">
        <f>B46*G46</f>
        <v/>
      </c>
    </row>
    <row r="47">
      <c r="A47" s="8" t="inlineStr">
        <is>
          <t>J10C</t>
        </is>
      </c>
      <c r="B47" s="8" t="n">
        <v>4</v>
      </c>
      <c r="C47" s="9" t="inlineStr">
        <is>
          <t>Anderson Powerpole contact, 15 A, 16-20 AWG, silver</t>
        </is>
      </c>
      <c r="D47" s="8" t="inlineStr">
        <is>
          <t>Anderson 1332-BK</t>
        </is>
      </c>
      <c r="E47" s="8" t="inlineStr">
        <is>
          <t>DigiKey</t>
        </is>
      </c>
      <c r="F47" s="10" t="inlineStr">
        <is>
          <t>https://www.digikey.com/en/products/detail/anderson-power-products-inc/1332-BK/10650021</t>
        </is>
      </c>
      <c r="G47" s="11" t="n">
        <v>0.43</v>
      </c>
      <c r="H47" s="8" t="inlineStr">
        <is>
          <t>listed</t>
        </is>
      </c>
      <c r="I47" s="9" t="inlineStr">
        <is>
          <t>Crimped onto 16 AWG; one per housing.</t>
        </is>
      </c>
      <c r="J47" s="12">
        <f>B47*G47</f>
        <v/>
      </c>
    </row>
    <row r="48">
      <c r="A48" s="8" t="inlineStr">
        <is>
          <t>J11</t>
        </is>
      </c>
      <c r="B48" s="8" t="n">
        <v>1</v>
      </c>
      <c r="C48" s="9" t="inlineStr">
        <is>
          <t>USB A to USB C cable, 1 m - Pi to KB2040 power and serial</t>
        </is>
      </c>
      <c r="D48" s="8" t="inlineStr">
        <is>
          <t>Adafruit 4474</t>
        </is>
      </c>
      <c r="E48" s="8" t="inlineStr">
        <is>
          <t>Adafruit</t>
        </is>
      </c>
      <c r="F48" s="10" t="inlineStr">
        <is>
          <t>https://www.adafruit.com/product/4474</t>
        </is>
      </c>
      <c r="G48" s="11" t="n">
        <v>4.95</v>
      </c>
      <c r="H48" s="8" t="inlineStr">
        <is>
          <t>listed</t>
        </is>
      </c>
      <c r="I48" s="9" t="inlineStr">
        <is>
          <t>Carries the USB CDC link the Pi sees as /dev/ttyACM1 and powers the KB2040.</t>
        </is>
      </c>
      <c r="J48" s="12">
        <f>B48*G48</f>
        <v/>
      </c>
    </row>
    <row r="49">
      <c r="A49" s="8" t="inlineStr">
        <is>
          <t>J12</t>
        </is>
      </c>
      <c r="B49" s="8" t="n">
        <v>1</v>
      </c>
      <c r="C49" s="9" t="inlineStr">
        <is>
          <t>USB Type C plug breakout - 5 V feed into the Pi USB-C power input</t>
        </is>
      </c>
      <c r="D49" s="8" t="inlineStr">
        <is>
          <t>Adafruit 5978</t>
        </is>
      </c>
      <c r="E49" s="8" t="inlineStr">
        <is>
          <t>Adafruit</t>
        </is>
      </c>
      <c r="F49" s="10" t="inlineStr">
        <is>
          <t>https://www.adafruit.com/product/5978</t>
        </is>
      </c>
      <c r="G49" s="11" t="n">
        <v>2.95</v>
      </c>
      <c r="H49" s="8" t="inlineStr">
        <is>
          <t>listed</t>
        </is>
      </c>
      <c r="I49" s="9" t="inlineStr">
        <is>
          <t>Solder 18 AWG from U5 VOUT to VBUS and GND. The board's 5.1 k CC1 resistor is what makes the Pi accept the supply. Keep the run under 250 mm.</t>
        </is>
      </c>
      <c r="J49" s="12">
        <f>B49*G49</f>
        <v/>
      </c>
    </row>
    <row r="50">
      <c r="A50" s="8" t="inlineStr">
        <is>
          <t>R1</t>
        </is>
      </c>
      <c r="B50" s="8" t="n">
        <v>1</v>
      </c>
      <c r="C50" s="9" t="inlineStr">
        <is>
          <t>Through-hole resistors, 100 ohm 5% 1/4 W, pack of 25</t>
        </is>
      </c>
      <c r="D50" s="8" t="inlineStr">
        <is>
          <t>Adafruit 4293</t>
        </is>
      </c>
      <c r="E50" s="8" t="inlineStr">
        <is>
          <t>Adafruit</t>
        </is>
      </c>
      <c r="F50" s="10" t="inlineStr">
        <is>
          <t>https://www.adafruit.com/product/4293</t>
        </is>
      </c>
      <c r="G50" s="11" t="n">
        <v>0.75</v>
      </c>
      <c r="H50" s="8" t="inlineStr">
        <is>
          <t>listed</t>
        </is>
      </c>
      <c r="I50" s="9" t="inlineStr">
        <is>
          <t>One used: TFT backlight pin to 5 V inside the dome. Page reads Out of stock on 2026-09-12; any 100 ohm 1/4 W part works.</t>
        </is>
      </c>
      <c r="J50" s="12">
        <f>B50*G50</f>
        <v/>
      </c>
    </row>
    <row r="51">
      <c r="A51" s="8" t="inlineStr">
        <is>
          <t>R2</t>
        </is>
      </c>
      <c r="B51" s="8" t="n">
        <v>1</v>
      </c>
      <c r="C51" s="9" t="inlineStr">
        <is>
          <t>Through-hole resistors, 100 k ohm 5% 1/4 W, pack of 25</t>
        </is>
      </c>
      <c r="D51" s="8" t="inlineStr">
        <is>
          <t>Adafruit 2787</t>
        </is>
      </c>
      <c r="E51" s="8" t="inlineStr">
        <is>
          <t>Adafruit</t>
        </is>
      </c>
      <c r="F51" s="10" t="inlineStr">
        <is>
          <t>https://www.adafruit.com/product/2787</t>
        </is>
      </c>
      <c r="G51" s="11" t="n">
        <v>0.95</v>
      </c>
      <c r="H51" s="8" t="inlineStr">
        <is>
          <t>listed</t>
        </is>
      </c>
      <c r="I51" s="9" t="inlineStr">
        <is>
          <t>One used: top leg of the battery divider, 12 V bus to the ADS1115 A0 node.</t>
        </is>
      </c>
      <c r="J51" s="12">
        <f>B51*G51</f>
        <v/>
      </c>
    </row>
    <row r="52">
      <c r="A52" s="8" t="inlineStr">
        <is>
          <t>R3</t>
        </is>
      </c>
      <c r="B52" s="8" t="n">
        <v>1</v>
      </c>
      <c r="C52" s="9" t="inlineStr">
        <is>
          <t>Through-hole resistor, 15 k ohm 5% 1/4 W</t>
        </is>
      </c>
      <c r="D52" s="8" t="inlineStr">
        <is>
          <t>Stackpole CF14JT15K0</t>
        </is>
      </c>
      <c r="E52" s="8" t="inlineStr">
        <is>
          <t>DigiKey</t>
        </is>
      </c>
      <c r="F52" s="10" t="inlineStr">
        <is>
          <t>https://www.digikey.com/en/products/detail/stackpole-electronics-inc/CF14JT15K0/1741298</t>
        </is>
      </c>
      <c r="G52" s="11" t="n">
        <v>0.5</v>
      </c>
      <c r="H52" s="8" t="inlineStr">
        <is>
          <t>allowance</t>
        </is>
      </c>
      <c r="I52" s="9" t="inlineStr">
        <is>
          <t>One used: bottom leg of the battery divider, ADS1115 A0 node to ground. Price not read from the page; DigiKey singles are a few cents, minimum order applies.</t>
        </is>
      </c>
      <c r="J52" s="12">
        <f>B52*G52</f>
        <v/>
      </c>
    </row>
    <row r="53">
      <c r="A53" s="8" t="inlineStr">
        <is>
          <t>R4</t>
        </is>
      </c>
      <c r="B53" s="8" t="n">
        <v>1</v>
      </c>
      <c r="C53" s="9" t="inlineStr">
        <is>
          <t>Through-hole resistors, 10 k ohm 5% 1/4 W, pack of 25</t>
        </is>
      </c>
      <c r="D53" s="8" t="inlineStr">
        <is>
          <t>Adafruit 2784</t>
        </is>
      </c>
      <c r="E53" s="8" t="inlineStr">
        <is>
          <t>Adafruit</t>
        </is>
      </c>
      <c r="F53" s="10" t="inlineStr">
        <is>
          <t>https://www.adafruit.com/product/2784</t>
        </is>
      </c>
      <c r="G53" s="11" t="n">
        <v>0.75</v>
      </c>
      <c r="H53" s="8" t="inlineStr">
        <is>
          <t>listed</t>
        </is>
      </c>
      <c r="I53" s="9" t="inlineStr">
        <is>
          <t>Three used: two sum the Pi left and right audio into the PAM8302 A+, one pulls up the dome index sensor. Page reads Out of stock on 2026-09-12.</t>
        </is>
      </c>
      <c r="J53" s="12">
        <f>B53*G53</f>
        <v/>
      </c>
    </row>
    <row r="54">
      <c r="A54" s="8" t="inlineStr">
        <is>
          <t>SD1</t>
        </is>
      </c>
      <c r="B54" s="8" t="n">
        <v>1</v>
      </c>
      <c r="C54" s="9" t="inlineStr">
        <is>
          <t>microSD card, 32 GB, A2 class - Raspberry Pi OS</t>
        </is>
      </c>
      <c r="D54" s="8" t="inlineStr">
        <is>
          <t>Official Raspberry Pi A2 32 GB (Adafruit 6010)</t>
        </is>
      </c>
      <c r="E54" s="8" t="inlineStr">
        <is>
          <t>Adafruit</t>
        </is>
      </c>
      <c r="F54" s="10" t="inlineStr">
        <is>
          <t>https://www.adafruit.com/product/6010</t>
        </is>
      </c>
      <c r="G54" s="11" t="n">
        <v>13.69</v>
      </c>
      <c r="H54" s="8" t="inlineStr">
        <is>
          <t>allowance</t>
        </is>
      </c>
      <c r="I54" s="9" t="inlineStr">
        <is>
          <t>Allowance: the Adafruit listing reads No longer stocked on 2026-09-12. Any A2 class 32 GB card works; the price is the Adafruit list price.</t>
        </is>
      </c>
      <c r="J54" s="12">
        <f>B54*G54</f>
        <v/>
      </c>
    </row>
    <row r="55">
      <c r="A55" s="8" t="inlineStr">
        <is>
          <t>SQ1</t>
        </is>
      </c>
      <c r="B55" s="8" t="n">
        <v>1</v>
      </c>
      <c r="C55" s="9" t="inlineStr">
        <is>
          <t>Hall effect switch US5881LUA - optional dome index (home) sensor</t>
        </is>
      </c>
      <c r="D55" s="8" t="inlineStr">
        <is>
          <t>Adafruit 158</t>
        </is>
      </c>
      <c r="E55" s="8" t="inlineStr">
        <is>
          <t>Adafruit</t>
        </is>
      </c>
      <c r="F55" s="10" t="inlineStr">
        <is>
          <t>https://www.adafruit.com/product/158</t>
        </is>
      </c>
      <c r="G55" s="11" t="n">
        <v>2</v>
      </c>
      <c r="H55" s="8" t="inlineStr">
        <is>
          <t>listed</t>
        </is>
      </c>
      <c r="I55" s="9" t="inlineStr">
        <is>
          <t>Optional. Mounts on the body top plate facing a magnet on the dome plate; open drain to KB2040 A3, which has its internal pull-up enabled in firmware. Fit the R4 10 k pull-up as well if the run is long.</t>
        </is>
      </c>
      <c r="J55" s="12">
        <f>B55*G55</f>
        <v/>
      </c>
    </row>
    <row r="56">
      <c r="C56" s="5" t="inlineStr">
        <is>
          <t>Sheet total</t>
        </is>
      </c>
      <c r="J56" s="6">
        <f>SUM(J2:J55)</f>
        <v/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34" customWidth="1" min="3" max="3"/>
    <col width="20" customWidth="1" min="4" max="4"/>
    <col width="14" customWidth="1" min="5" max="5"/>
    <col width="46" customWidth="1" min="6" max="6"/>
    <col width="10" customWidth="1" min="7" max="7"/>
    <col width="12" customWidth="1" min="8" max="8"/>
    <col width="52" customWidth="1" min="9" max="9"/>
    <col width="11" customWidth="1" min="10" max="10"/>
  </cols>
  <sheetData>
    <row r="1" ht="30" customHeight="1">
      <c r="A1" s="7" t="inlineStr">
        <is>
          <t>Ref</t>
        </is>
      </c>
      <c r="B1" s="7" t="inlineStr">
        <is>
          <t>Qty</t>
        </is>
      </c>
      <c r="C1" s="7" t="inlineStr">
        <is>
          <t>Item</t>
        </is>
      </c>
      <c r="D1" s="7" t="inlineStr">
        <is>
          <t>Part number</t>
        </is>
      </c>
      <c r="E1" s="7" t="inlineStr">
        <is>
          <t>Supplier</t>
        </is>
      </c>
      <c r="F1" s="7" t="inlineStr">
        <is>
          <t>Source URL</t>
        </is>
      </c>
      <c r="G1" s="7" t="inlineStr">
        <is>
          <t>Unit USD</t>
        </is>
      </c>
      <c r="H1" s="7" t="inlineStr">
        <is>
          <t>Price basis</t>
        </is>
      </c>
      <c r="I1" s="7" t="inlineStr">
        <is>
          <t>Notes / use</t>
        </is>
      </c>
      <c r="J1" s="7" t="inlineStr">
        <is>
          <t>Line USD</t>
        </is>
      </c>
    </row>
    <row r="2">
      <c r="A2" s="8" t="inlineStr">
        <is>
          <t>H01</t>
        </is>
      </c>
      <c r="B2" s="8" t="n">
        <v>1</v>
      </c>
      <c r="C2" s="9" t="inlineStr">
        <is>
          <t>Lazy susan ring bearing, 9 inch round steel, 228.6 mm OD, 114.3 mm centre hole</t>
        </is>
      </c>
      <c r="D2" s="8" t="inlineStr">
        <is>
          <t>Triangle 9C (WW Hardware TR09C)</t>
        </is>
      </c>
      <c r="E2" s="8" t="inlineStr">
        <is>
          <t>WW Hardware</t>
        </is>
      </c>
      <c r="F2" s="10" t="inlineStr">
        <is>
          <t>https://www.wwhardware.com/triangle-flat-lazy-susan-bearing-9-round-tr09c</t>
        </is>
      </c>
      <c r="G2" s="11" t="n">
        <v>6.79</v>
      </c>
      <c r="H2" s="8" t="inlineStr">
        <is>
          <t>listed</t>
        </is>
      </c>
      <c r="I2" s="9" t="inlineStr">
        <is>
          <t>Dome bearing between the body top plate and the dome plate. 750 lb rating; four M5 screws per race through the access holes.</t>
        </is>
      </c>
      <c r="J2" s="12">
        <f>B2*G2</f>
        <v/>
      </c>
    </row>
    <row r="3">
      <c r="A3" s="8" t="inlineStr">
        <is>
          <t>H02</t>
        </is>
      </c>
      <c r="B3" s="8" t="n">
        <v>1</v>
      </c>
      <c r="C3" s="9" t="inlineStr">
        <is>
          <t>Ball bearings 6001-2RS, 12 x 28 x 8 mm, pack of 10</t>
        </is>
      </c>
      <c r="D3" s="8" t="inlineStr">
        <is>
          <t>PGN 6001-2RS 10 pack</t>
        </is>
      </c>
      <c r="E3" s="8" t="inlineStr">
        <is>
          <t>Amazon</t>
        </is>
      </c>
      <c r="F3" s="10" t="inlineStr">
        <is>
          <t>https://www.amazon.com/dp/B07GVQ8G23</t>
        </is>
      </c>
      <c r="G3" s="11" t="n">
        <v>11.45</v>
      </c>
      <c r="H3" s="8" t="inlineStr">
        <is>
          <t>listed</t>
        </is>
      </c>
      <c r="I3" s="9" t="inlineStr">
        <is>
          <t>Six used: two per shoulder pivot (four) and two in the centre-foot caster (params.scad caster_bearing_od 28, caster_bearing_t 8). Four spare.</t>
        </is>
      </c>
      <c r="J3" s="12">
        <f>B3*G3</f>
        <v/>
      </c>
    </row>
    <row r="4">
      <c r="A4" s="8" t="inlineStr">
        <is>
          <t>H03</t>
        </is>
      </c>
      <c r="B4" s="8" t="n">
        <v>2</v>
      </c>
      <c r="C4" s="9" t="inlineStr">
        <is>
          <t>Hex bolt M12-1.75 x 130 mm, class 8.8 zinc - shoulder pivot</t>
        </is>
      </c>
      <c r="D4" s="8" t="inlineStr">
        <is>
          <t>Bolt Depot 6272</t>
        </is>
      </c>
      <c r="E4" s="8" t="inlineStr">
        <is>
          <t>Bolt Depot</t>
        </is>
      </c>
      <c r="F4" s="10" t="inlineStr">
        <is>
          <t>https://www.boltdepot.com/Metric_hex_bolts_Zinc_plated_class_8.8_steel_12mm_x_1.75mm.aspx</t>
        </is>
      </c>
      <c r="G4" s="11" t="n">
        <v>2.83</v>
      </c>
      <c r="H4" s="8" t="inlineStr">
        <is>
          <t>listed</t>
        </is>
      </c>
      <c r="I4" s="9" t="inlineStr">
        <is>
          <t>One per shoulder, through the leg hub, the bushings and the 30 mm body boss. Use a steel crush sleeve so the printed boss is never clamped directly.</t>
        </is>
      </c>
      <c r="J4" s="12">
        <f>B4*G4</f>
        <v/>
      </c>
    </row>
    <row r="5">
      <c r="A5" s="8" t="inlineStr">
        <is>
          <t>H04</t>
        </is>
      </c>
      <c r="B5" s="8" t="n">
        <v>1</v>
      </c>
      <c r="C5" s="9" t="inlineStr">
        <is>
          <t>Nylon-insert lock nuts M12-1.75, DIN 985, stainless, pack of 20</t>
        </is>
      </c>
      <c r="D5" s="8" t="inlineStr">
        <is>
          <t>BNUOK M12 nyloc 20 pack</t>
        </is>
      </c>
      <c r="E5" s="8" t="inlineStr">
        <is>
          <t>Amazon</t>
        </is>
      </c>
      <c r="F5" s="10" t="inlineStr">
        <is>
          <t>https://www.amazon.com/dp/B0F8GZP628</t>
        </is>
      </c>
      <c r="G5" s="11" t="n">
        <v>8.99</v>
      </c>
      <c r="H5" s="8" t="inlineStr">
        <is>
          <t>listed</t>
        </is>
      </c>
      <c r="I5" s="9" t="inlineStr">
        <is>
          <t>Two used on the shoulder bolts; the rest are spares and centre-leg hardware.</t>
        </is>
      </c>
      <c r="J5" s="12">
        <f>B5*G5</f>
        <v/>
      </c>
    </row>
    <row r="6">
      <c r="A6" s="8" t="inlineStr">
        <is>
          <t>H05</t>
        </is>
      </c>
      <c r="B6" s="8" t="n">
        <v>8</v>
      </c>
      <c r="C6" s="9" t="inlineStr">
        <is>
          <t>Fender washer M12, 12 x 37 mm, zinc</t>
        </is>
      </c>
      <c r="D6" s="8" t="inlineStr">
        <is>
          <t>Bolt Depot 17834</t>
        </is>
      </c>
      <c r="E6" s="8" t="inlineStr">
        <is>
          <t>Bolt Depot</t>
        </is>
      </c>
      <c r="F6" s="10" t="inlineStr">
        <is>
          <t>https://boltdepot.com/Product-List?Units=Metric&amp;Category=Washers&amp;Subcategory=Fender_washers&amp;F_Size=12mm&amp;Material=Steel&amp;Plating=Zinc</t>
        </is>
      </c>
      <c r="G6" s="11" t="n">
        <v>0.5600000000000001</v>
      </c>
      <c r="H6" s="8" t="inlineStr">
        <is>
          <t>listed</t>
        </is>
      </c>
      <c r="I6" s="9" t="inlineStr">
        <is>
          <t>Large washers spread the shoulder clamp load over the printed faces; loads.md asks for about 40 mm diameter, so 37 mm is the closest stock size.</t>
        </is>
      </c>
      <c r="J6" s="12">
        <f>B6*G6</f>
        <v/>
      </c>
    </row>
    <row r="7">
      <c r="A7" s="8" t="inlineStr">
        <is>
          <t>H06</t>
        </is>
      </c>
      <c r="B7" s="8" t="n">
        <v>8</v>
      </c>
      <c r="C7" s="9" t="inlineStr">
        <is>
          <t>Flat washer M12, zinc</t>
        </is>
      </c>
      <c r="D7" s="8" t="inlineStr">
        <is>
          <t>Bolt Depot 4531</t>
        </is>
      </c>
      <c r="E7" s="8" t="inlineStr">
        <is>
          <t>Bolt Depot</t>
        </is>
      </c>
      <c r="F7" s="10" t="inlineStr">
        <is>
          <t>https://boltdepot.com/Product-List?Units=Metric&amp;Category=Washers&amp;Subcategory=Flat_washers&amp;F_Size=12mm&amp;Material=Steel&amp;Plating=Zinc</t>
        </is>
      </c>
      <c r="G7" s="11" t="n">
        <v>0.08</v>
      </c>
      <c r="H7" s="8" t="inlineStr">
        <is>
          <t>listed</t>
        </is>
      </c>
      <c r="I7" s="9" t="inlineStr">
        <is>
          <t>Under the nyloc and against the bearing inner races.</t>
        </is>
      </c>
      <c r="J7" s="12">
        <f>B7*G7</f>
        <v/>
      </c>
    </row>
    <row r="8">
      <c r="A8" s="8" t="inlineStr">
        <is>
          <t>H07</t>
        </is>
      </c>
      <c r="B8" s="8" t="n">
        <v>2</v>
      </c>
      <c r="C8" s="9" t="inlineStr">
        <is>
          <t>Flanged bronze bushing, 12 mm bore x 16 mm OD x 20 mm, pack of 2</t>
        </is>
      </c>
      <c r="D8" s="8" t="inlineStr">
        <is>
          <t>HARFINGTON flanged bushing</t>
        </is>
      </c>
      <c r="E8" s="8" t="inlineStr">
        <is>
          <t>Amazon</t>
        </is>
      </c>
      <c r="F8" s="10" t="inlineStr">
        <is>
          <t>https://www.amazon.com/dp/B0CGDV5C3F</t>
        </is>
      </c>
      <c r="G8" s="11" t="n">
        <v>12.99</v>
      </c>
      <c r="H8" s="8" t="inlineStr">
        <is>
          <t>listed</t>
        </is>
      </c>
      <c r="I8" s="9" t="inlineStr">
        <is>
          <t>Four bushings, two per shoulder, as the low-friction sleeve between the leg hub and the pivot bolt.</t>
        </is>
      </c>
      <c r="J8" s="12">
        <f>B8*G8</f>
        <v/>
      </c>
    </row>
    <row r="9">
      <c r="A9" s="8" t="inlineStr">
        <is>
          <t>H08</t>
        </is>
      </c>
      <c r="B9" s="8" t="n">
        <v>1</v>
      </c>
      <c r="C9" s="9" t="inlineStr">
        <is>
          <t>Dowel pins 6 x 30 mm, steel, pack of 50</t>
        </is>
      </c>
      <c r="D9" s="8" t="inlineStr">
        <is>
          <t>Fabory 6x30 dowel pin 50 pack</t>
        </is>
      </c>
      <c r="E9" s="8" t="inlineStr">
        <is>
          <t>Amazon</t>
        </is>
      </c>
      <c r="F9" s="10" t="inlineStr">
        <is>
          <t>https://www.amazon.com/dp/B076GVC92R</t>
        </is>
      </c>
      <c r="G9" s="11" t="n">
        <v>34.9</v>
      </c>
      <c r="H9" s="8" t="inlineStr">
        <is>
          <t>listed</t>
        </is>
      </c>
      <c r="I9" s="9" t="inlineStr">
        <is>
          <t>Four used: two index pins per shoulder at radius 45 mm, at the two-leg (0 deg) and three-leg (18 deg) positions.</t>
        </is>
      </c>
      <c r="J9" s="12">
        <f>B9*G9</f>
        <v/>
      </c>
    </row>
    <row r="10">
      <c r="A10" s="8" t="inlineStr">
        <is>
          <t>H09</t>
        </is>
      </c>
      <c r="B10" s="8" t="n">
        <v>4</v>
      </c>
      <c r="C10" s="9" t="inlineStr">
        <is>
          <t>Threaded rod M8 x 1.25, 1 m, zinc steel</t>
        </is>
      </c>
      <c r="D10" s="8" t="inlineStr">
        <is>
          <t>Bolt Depot 23774</t>
        </is>
      </c>
      <c r="E10" s="8" t="inlineStr">
        <is>
          <t>Bolt Depot</t>
        </is>
      </c>
      <c r="F10" s="10" t="inlineStr">
        <is>
          <t>https://boltdepot.com/Threaded_rod_Zinc_plated_steel_8mm_x_1.25mm</t>
        </is>
      </c>
      <c r="G10" s="11" t="n">
        <v>11.25</v>
      </c>
      <c r="H10" s="8" t="inlineStr">
        <is>
          <t>listed</t>
        </is>
      </c>
      <c r="I10" s="9" t="inlineStr">
        <is>
          <t>Cut plan: two rods give the four body rods at 385 mm each (2 x 385 = 770 mm, 230 mm offcut); two rods give the four leg rods at 425 mm each (2 x 425 = 850 mm, 150 mm offcut). Deburr and chamfer every cut end.</t>
        </is>
      </c>
      <c r="J10" s="12">
        <f>B10*G10</f>
        <v/>
      </c>
    </row>
    <row r="11">
      <c r="A11" s="8" t="inlineStr">
        <is>
          <t>H10</t>
        </is>
      </c>
      <c r="B11" s="8" t="n">
        <v>40</v>
      </c>
      <c r="C11" s="9" t="inlineStr">
        <is>
          <t>Hex nut M8-1.25, class 8.8 zinc</t>
        </is>
      </c>
      <c r="D11" s="8" t="inlineStr">
        <is>
          <t>Bolt Depot 4788</t>
        </is>
      </c>
      <c r="E11" s="8" t="inlineStr">
        <is>
          <t>Bolt Depot</t>
        </is>
      </c>
      <c r="F11" s="10" t="inlineStr">
        <is>
          <t>https://boltdepot.com/Product-List?Units=Metric&amp;Category=Nuts&amp;Subcategory=Hex_nuts&amp;F_Diameter=8mm&amp;F_Thread_pitch=1.25mm&amp;Material=Steel&amp;Plating=Zinc&amp;Grade=Class_8.8</t>
        </is>
      </c>
      <c r="G11" s="11" t="n">
        <v>0.06</v>
      </c>
      <c r="H11" s="8" t="inlineStr">
        <is>
          <t>listed</t>
        </is>
      </c>
      <c r="I11" s="9" t="inlineStr">
        <is>
          <t>Two per rod end (jam pairs) on eight rods plus the centre-leg flange bolts. $4.84 per 100 at Bolt Depot.</t>
        </is>
      </c>
      <c r="J11" s="12">
        <f>B11*G11</f>
        <v/>
      </c>
    </row>
    <row r="12">
      <c r="A12" s="8" t="inlineStr">
        <is>
          <t>H11</t>
        </is>
      </c>
      <c r="B12" s="8" t="n">
        <v>1</v>
      </c>
      <c r="C12" s="9" t="inlineStr">
        <is>
          <t>Nylon-insert lock nuts M8-1.25, pack of 50</t>
        </is>
      </c>
      <c r="D12" s="8" t="inlineStr">
        <is>
          <t>Yinpecly M8 nyloc 50 pack</t>
        </is>
      </c>
      <c r="E12" s="8" t="inlineStr">
        <is>
          <t>Amazon</t>
        </is>
      </c>
      <c r="F12" s="10" t="inlineStr">
        <is>
          <t>https://www.amazon.com/dp/B0F1YGKBSL</t>
        </is>
      </c>
      <c r="G12" s="11" t="n">
        <v>6.99</v>
      </c>
      <c r="H12" s="8" t="inlineStr">
        <is>
          <t>listed</t>
        </is>
      </c>
      <c r="I12" s="9" t="inlineStr">
        <is>
          <t>Final nut on every M8 rod end, the four centre-leg flange bolts and the two ankle bolts per outer foot.</t>
        </is>
      </c>
      <c r="J12" s="12">
        <f>B12*G12</f>
        <v/>
      </c>
    </row>
    <row r="13">
      <c r="A13" s="8" t="inlineStr">
        <is>
          <t>H12</t>
        </is>
      </c>
      <c r="B13" s="8" t="n">
        <v>40</v>
      </c>
      <c r="C13" s="9" t="inlineStr">
        <is>
          <t>Flat washer M8, zinc</t>
        </is>
      </c>
      <c r="D13" s="8" t="inlineStr">
        <is>
          <t>Bolt Depot 4529</t>
        </is>
      </c>
      <c r="E13" s="8" t="inlineStr">
        <is>
          <t>Bolt Depot</t>
        </is>
      </c>
      <c r="F13" s="10" t="inlineStr">
        <is>
          <t>https://boltdepot.com/Product-List?Units=Metric&amp;Category=Washers&amp;Subcategory=Flat_washers&amp;F_Size=8mm&amp;Material=Steel&amp;Plating=Zinc</t>
        </is>
      </c>
      <c r="G13" s="11" t="n">
        <v>0.05</v>
      </c>
      <c r="H13" s="8" t="inlineStr">
        <is>
          <t>listed</t>
        </is>
      </c>
      <c r="I13" s="9" t="inlineStr">
        <is>
          <t>Under every M8 nut that does not get a fender washer. $2.33 per 100.</t>
        </is>
      </c>
      <c r="J13" s="12">
        <f>B13*G13</f>
        <v/>
      </c>
    </row>
    <row r="14">
      <c r="A14" s="8" t="inlineStr">
        <is>
          <t>H13</t>
        </is>
      </c>
      <c r="B14" s="8" t="n">
        <v>16</v>
      </c>
      <c r="C14" s="9" t="inlineStr">
        <is>
          <t>Fender washer M8, 8 x 24 mm, zinc</t>
        </is>
      </c>
      <c r="D14" s="8" t="inlineStr">
        <is>
          <t>Bolt Depot 17832</t>
        </is>
      </c>
      <c r="E14" s="8" t="inlineStr">
        <is>
          <t>Bolt Depot</t>
        </is>
      </c>
      <c r="F14" s="10" t="inlineStr">
        <is>
          <t>https://boltdepot.com/Product-List?Units=Metric&amp;Category=Washers&amp;Subcategory=Fender_washers&amp;F_Size=8mm&amp;Material=Steel&amp;Plating=Zinc</t>
        </is>
      </c>
      <c r="G14" s="11" t="n">
        <v>0.28</v>
      </c>
      <c r="H14" s="8" t="inlineStr">
        <is>
          <t>listed</t>
        </is>
      </c>
      <c r="I14" s="9" t="inlineStr">
        <is>
          <t>One at each end of the eight rods, so the 1 kN preload in loads.md sits on about 5 MPa of printed face.</t>
        </is>
      </c>
      <c r="J14" s="12">
        <f>B14*G14</f>
        <v/>
      </c>
    </row>
    <row r="15">
      <c r="A15" s="8" t="inlineStr">
        <is>
          <t>H14</t>
        </is>
      </c>
      <c r="B15" s="8" t="n">
        <v>12</v>
      </c>
      <c r="C15" s="9" t="inlineStr">
        <is>
          <t>Socket cap screw M5 x 0.8 x 12 mm, stainless 18-8</t>
        </is>
      </c>
      <c r="D15" s="8" t="inlineStr">
        <is>
          <t>Bolt Depot metric socket cap 5 mm x 0.8 mm x 12 mm</t>
        </is>
      </c>
      <c r="E15" s="8" t="inlineStr">
        <is>
          <t>Bolt Depot</t>
        </is>
      </c>
      <c r="F15" s="10" t="inlineStr">
        <is>
          <t>https://boltdepot.com/Metric_socket_cap_Stainless_steel_18-8_(A-2)_5mm_x_0.8mm</t>
        </is>
      </c>
      <c r="G15" s="11" t="n">
        <v>0.3</v>
      </c>
      <c r="H15" s="8" t="inlineStr">
        <is>
          <t>allowance</t>
        </is>
      </c>
      <c r="I15" s="9" t="inlineStr">
        <is>
          <t>Eight used: four into M5 heat-set inserts in the body top plate and four into the dome plate, through the lazy-susan access holes. Bolt Depot prices load by script and were not readable on 2026-09-12.</t>
        </is>
      </c>
      <c r="J15" s="12">
        <f>B15*G15</f>
        <v/>
      </c>
    </row>
    <row r="16">
      <c r="A16" s="8" t="inlineStr">
        <is>
          <t>H15</t>
        </is>
      </c>
      <c r="B16" s="8" t="n">
        <v>1</v>
      </c>
      <c r="C16" s="9" t="inlineStr">
        <is>
          <t>Heat-set inserts M5 x 9.5 mm, brass, pack of 50 (ruthex RX-M5x9.5)</t>
        </is>
      </c>
      <c r="D16" s="8" t="inlineStr">
        <is>
          <t>ruthex RX-M5x9.5</t>
        </is>
      </c>
      <c r="E16" s="8" t="inlineStr">
        <is>
          <t>Amazon</t>
        </is>
      </c>
      <c r="F16" s="10" t="inlineStr">
        <is>
          <t>https://www.amazon.com/dp/B07YSVXWS8</t>
        </is>
      </c>
      <c r="G16" s="11" t="n">
        <v>9.99</v>
      </c>
      <c r="H16" s="8" t="inlineStr">
        <is>
          <t>listed</t>
        </is>
      </c>
      <c r="I16" s="9" t="inlineStr">
        <is>
          <t>Eight for the lazy susan, two for the head-drive tensioner. CAD pocket 6.63 mm diameter x 10.0 mm deep.</t>
        </is>
      </c>
      <c r="J16" s="12">
        <f>B16*G16</f>
        <v/>
      </c>
    </row>
    <row r="17">
      <c r="A17" s="8" t="inlineStr">
        <is>
          <t>H16</t>
        </is>
      </c>
      <c r="B17" s="8" t="n">
        <v>4</v>
      </c>
      <c r="C17" s="9" t="inlineStr">
        <is>
          <t>Socket cap screw M5 x 0.8 x 40 mm, stainless - head-drive tensioner</t>
        </is>
      </c>
      <c r="D17" s="8" t="inlineStr">
        <is>
          <t>uxcell M5 x 40 socket cap, 10 pack</t>
        </is>
      </c>
      <c r="E17" s="8" t="inlineStr">
        <is>
          <t>Amazon</t>
        </is>
      </c>
      <c r="F17" s="10" t="inlineStr">
        <is>
          <t>https://www.amazon.com/dp/B0DY4HF7N8</t>
        </is>
      </c>
      <c r="G17" s="11" t="n">
        <v>0.4</v>
      </c>
      <c r="H17" s="8" t="inlineStr">
        <is>
          <t>allowance</t>
        </is>
      </c>
      <c r="I17" s="9" t="inlineStr">
        <is>
          <t>Two used on the tensioner, two spare. Listed at $3.99 per 10 in a search result; the page itself was not fetched, so the price is an allowance.</t>
        </is>
      </c>
      <c r="J17" s="12">
        <f>B17*G17</f>
        <v/>
      </c>
    </row>
    <row r="18">
      <c r="A18" s="8" t="inlineStr">
        <is>
          <t>H17</t>
        </is>
      </c>
      <c r="B18" s="8" t="n">
        <v>1</v>
      </c>
      <c r="C18" s="9" t="inlineStr">
        <is>
          <t>Knurled thumb nuts M5-0.8, 304 stainless, pack of 10</t>
        </is>
      </c>
      <c r="D18" s="8" t="inlineStr">
        <is>
          <t>uxcell M5 thumb nut 10 pack</t>
        </is>
      </c>
      <c r="E18" s="8" t="inlineStr">
        <is>
          <t>Amazon</t>
        </is>
      </c>
      <c r="F18" s="10" t="inlineStr">
        <is>
          <t>https://www.amazon.com/dp/B0D7PWCDWK</t>
        </is>
      </c>
      <c r="G18" s="11" t="n">
        <v>9.390000000000001</v>
      </c>
      <c r="H18" s="8" t="inlineStr">
        <is>
          <t>listed</t>
        </is>
      </c>
      <c r="I18" s="9" t="inlineStr">
        <is>
          <t>Two used: tool-free tension stop on the head-drive adjuster screws.</t>
        </is>
      </c>
      <c r="J18" s="12">
        <f>B18*G18</f>
        <v/>
      </c>
    </row>
    <row r="19">
      <c r="A19" s="8" t="inlineStr">
        <is>
          <t>H18</t>
        </is>
      </c>
      <c r="B19" s="8" t="n">
        <v>1</v>
      </c>
      <c r="C19" s="9" t="inlineStr">
        <is>
          <t>Compression spring 10 mm OD x 25 mm free length, 0.6 mm wire, 304 stainless, pack of 5</t>
        </is>
      </c>
      <c r="D19" s="8" t="inlineStr">
        <is>
          <t>Compression spring 10 x 25 x 0.6</t>
        </is>
      </c>
      <c r="E19" s="8" t="inlineStr">
        <is>
          <t>Amazon</t>
        </is>
      </c>
      <c r="F19" s="10" t="inlineStr">
        <is>
          <t>https://us.amazon.com/Compression-Spring-Stainless-Length-Silver/dp/B0DK9C5YT5</t>
        </is>
      </c>
      <c r="G19" s="11" t="n">
        <v>2.24</v>
      </c>
      <c r="H19" s="8" t="inlineStr">
        <is>
          <t>listed</t>
        </is>
      </c>
      <c r="I19" s="9" t="inlineStr">
        <is>
          <t>Two used on the head-drive tensioner; stack two per screw if the friction wheel slips on the dome ring.</t>
        </is>
      </c>
      <c r="J19" s="12">
        <f>B19*G19</f>
        <v/>
      </c>
    </row>
    <row r="20">
      <c r="A20" s="8" t="inlineStr">
        <is>
          <t>H19</t>
        </is>
      </c>
      <c r="B20" s="8" t="n">
        <v>1</v>
      </c>
      <c r="C20" s="9" t="inlineStr">
        <is>
          <t>Socket cap screws M4 x 0.7 x 12 mm, 12.9 alloy, pack of 50</t>
        </is>
      </c>
      <c r="D20" s="8" t="inlineStr">
        <is>
          <t>M4 x 12 socket cap 50 pack</t>
        </is>
      </c>
      <c r="E20" s="8" t="inlineStr">
        <is>
          <t>Amazon</t>
        </is>
      </c>
      <c r="F20" s="10" t="inlineStr">
        <is>
          <t>https://www.amazon.com/dp/B074TFLBFQ</t>
        </is>
      </c>
      <c r="G20" s="11" t="n">
        <v>7.29</v>
      </c>
      <c r="H20" s="8" t="inlineStr">
        <is>
          <t>listed</t>
        </is>
      </c>
      <c r="I20" s="9" t="inlineStr">
        <is>
          <t>Twenty-four used: eight at the body ring seam, eight at the two leg splices, four on the head-drive mount, four holding the electronics tray.</t>
        </is>
      </c>
      <c r="J20" s="12">
        <f>B20*G20</f>
        <v/>
      </c>
    </row>
    <row r="21">
      <c r="A21" s="8" t="inlineStr">
        <is>
          <t>H20</t>
        </is>
      </c>
      <c r="B21" s="8" t="n">
        <v>40</v>
      </c>
      <c r="C21" s="9" t="inlineStr">
        <is>
          <t>Hex nut M4-0.7, class 8.8 zinc</t>
        </is>
      </c>
      <c r="D21" s="8" t="inlineStr">
        <is>
          <t>Bolt Depot 4784</t>
        </is>
      </c>
      <c r="E21" s="8" t="inlineStr">
        <is>
          <t>Bolt Depot</t>
        </is>
      </c>
      <c r="F21" s="10" t="inlineStr">
        <is>
          <t>https://boltdepot.com/Product-List?Units=Metric&amp;Category=Nuts&amp;Subcategory=Hex_nuts&amp;F_Diameter=4mm&amp;F_Thread_pitch=0.7mm&amp;Material=Steel&amp;Plating=Zinc</t>
        </is>
      </c>
      <c r="G21" s="11" t="n">
        <v>0.05</v>
      </c>
      <c r="H21" s="8" t="inlineStr">
        <is>
          <t>listed</t>
        </is>
      </c>
      <c r="I21" s="9" t="inlineStr">
        <is>
          <t>Behind every M4 that does not land in a heat-set insert. $2.54 per 100.</t>
        </is>
      </c>
      <c r="J21" s="12">
        <f>B21*G21</f>
        <v/>
      </c>
    </row>
    <row r="22">
      <c r="A22" s="8" t="inlineStr">
        <is>
          <t>H21</t>
        </is>
      </c>
      <c r="B22" s="8" t="n">
        <v>50</v>
      </c>
      <c r="C22" s="9" t="inlineStr">
        <is>
          <t>Flat washer M4, zinc</t>
        </is>
      </c>
      <c r="D22" s="8" t="inlineStr">
        <is>
          <t>Bolt Depot 4525</t>
        </is>
      </c>
      <c r="E22" s="8" t="inlineStr">
        <is>
          <t>Bolt Depot</t>
        </is>
      </c>
      <c r="F22" s="10" t="inlineStr">
        <is>
          <t>https://boltdepot.com/Product-List?Units=Metric&amp;Category=Washers&amp;Subcategory=Flat_washers&amp;F_Size=4mm&amp;Material=Steel&amp;Plating=Zinc</t>
        </is>
      </c>
      <c r="G22" s="11" t="n">
        <v>0.05</v>
      </c>
      <c r="H22" s="8" t="inlineStr">
        <is>
          <t>listed</t>
        </is>
      </c>
      <c r="I22" s="9" t="inlineStr">
        <is>
          <t>One under every M4 head and nut. $1.28 per 100.</t>
        </is>
      </c>
      <c r="J22" s="12">
        <f>B22*G22</f>
        <v/>
      </c>
    </row>
    <row r="23">
      <c r="A23" s="8" t="inlineStr">
        <is>
          <t>H22</t>
        </is>
      </c>
      <c r="B23" s="8" t="n">
        <v>1</v>
      </c>
      <c r="C23" s="9" t="inlineStr">
        <is>
          <t>Heat-set inserts M4 x 8.1 mm, brass, pack of 50 (ruthex RX-M4x8.1)</t>
        </is>
      </c>
      <c r="D23" s="8" t="inlineStr">
        <is>
          <t>ruthex RX-M4x8.1</t>
        </is>
      </c>
      <c r="E23" s="8" t="inlineStr">
        <is>
          <t>Amazon</t>
        </is>
      </c>
      <c r="F23" s="10" t="inlineStr">
        <is>
          <t>https://www.amazon.com/dp/B07YSV66Y5</t>
        </is>
      </c>
      <c r="G23" s="11" t="n">
        <v>9.99</v>
      </c>
      <c r="H23" s="8" t="inlineStr">
        <is>
          <t>listed</t>
        </is>
      </c>
      <c r="I23" s="9" t="inlineStr">
        <is>
          <t>Head-drive mount, electronics tray bosses and the leg splice plates. CAD pocket 5.83 mm diameter x 8.6 mm deep.</t>
        </is>
      </c>
      <c r="J23" s="12">
        <f>B23*G23</f>
        <v/>
      </c>
    </row>
    <row r="24">
      <c r="A24" s="8" t="inlineStr">
        <is>
          <t>H23</t>
        </is>
      </c>
      <c r="B24" s="8" t="n">
        <v>1</v>
      </c>
      <c r="C24" s="9" t="inlineStr">
        <is>
          <t>Socket and button head screw, nut and washer kit, M2 / M3 / M4, 1080 pieces</t>
        </is>
      </c>
      <c r="D24" s="8" t="inlineStr">
        <is>
          <t>M2 M3 M4 screw kit 1080 pcs</t>
        </is>
      </c>
      <c r="E24" s="8" t="inlineStr">
        <is>
          <t>Amazon</t>
        </is>
      </c>
      <c r="F24" s="10" t="inlineStr">
        <is>
          <t>https://www.amazon.com/dp/B0CHMKL1DF</t>
        </is>
      </c>
      <c r="G24" s="11" t="n">
        <v>12.99</v>
      </c>
      <c r="H24" s="8" t="inlineStr">
        <is>
          <t>listed</t>
        </is>
      </c>
      <c r="I24" s="9" t="inlineStr">
        <is>
          <t>Source of the M3 x 10 motor-saddle screws (14), the M2 x 6 screws for the four matrix backpacks and the KB2040, and general M3 and M4 spares.</t>
        </is>
      </c>
      <c r="J24" s="12">
        <f>B24*G24</f>
        <v/>
      </c>
    </row>
    <row r="25">
      <c r="A25" s="8" t="inlineStr">
        <is>
          <t>H24</t>
        </is>
      </c>
      <c r="B25" s="8" t="n">
        <v>2</v>
      </c>
      <c r="C25" s="9" t="inlineStr">
        <is>
          <t>Heat-set inserts M3 x 4 mm, brass, pack of 50</t>
        </is>
      </c>
      <c r="D25" s="8" t="inlineStr">
        <is>
          <t>Adafruit 4255</t>
        </is>
      </c>
      <c r="E25" s="8" t="inlineStr">
        <is>
          <t>Adafruit</t>
        </is>
      </c>
      <c r="F25" s="10" t="inlineStr">
        <is>
          <t>https://www.adafruit.com/product/4255</t>
        </is>
      </c>
      <c r="G25" s="11" t="n">
        <v>5.95</v>
      </c>
      <c r="H25" s="8" t="inlineStr">
        <is>
          <t>listed</t>
        </is>
      </c>
      <c r="I25" s="9" t="inlineStr">
        <is>
          <t>Motor saddles in the three feet (14), dome display mounts, slip-ring clamp and the tray standoff bosses. CAD pocket 4.24 mm diameter x 4.5 mm deep.</t>
        </is>
      </c>
      <c r="J25" s="12">
        <f>B25*G25</f>
        <v/>
      </c>
    </row>
    <row r="26">
      <c r="A26" s="8" t="inlineStr">
        <is>
          <t>H25</t>
        </is>
      </c>
      <c r="B26" s="8" t="n">
        <v>1</v>
      </c>
      <c r="C26" s="9" t="inlineStr">
        <is>
          <t>Nylon machine screw and stand-off set, M2.5 thread, 380 pieces</t>
        </is>
      </c>
      <c r="D26" s="8" t="inlineStr">
        <is>
          <t>Adafruit 3299</t>
        </is>
      </c>
      <c r="E26" s="8" t="inlineStr">
        <is>
          <t>Adafruit</t>
        </is>
      </c>
      <c r="F26" s="10" t="inlineStr">
        <is>
          <t>https://www.adafruit.com/product/3299</t>
        </is>
      </c>
      <c r="G26" s="11" t="n">
        <v>16.95</v>
      </c>
      <c r="H26" s="8" t="inlineStr">
        <is>
          <t>listed</t>
        </is>
      </c>
      <c r="I26" s="9" t="inlineStr">
        <is>
          <t>M2.5 x 8 mm screws and standoffs for the Raspberry Pi (four holes, 58 x 49 mm pattern) and the round TFT (two 2.5 mm holes 22.8 mm apart). Page reads Out of stock on 2026-09-12; Adafruit 3658 is the same set in white.</t>
        </is>
      </c>
      <c r="J26" s="12">
        <f>B26*G26</f>
        <v/>
      </c>
    </row>
    <row r="27">
      <c r="A27" s="8" t="inlineStr">
        <is>
          <t>H26</t>
        </is>
      </c>
      <c r="B27" s="8" t="n">
        <v>1</v>
      </c>
      <c r="C27" s="9" t="inlineStr">
        <is>
          <t>Nylon standoff kit M3, 260 pieces, 6-20 mm</t>
        </is>
      </c>
      <c r="D27" s="8" t="inlineStr">
        <is>
          <t>HVAZI M3 standoff kit</t>
        </is>
      </c>
      <c r="E27" s="8" t="inlineStr">
        <is>
          <t>Amazon</t>
        </is>
      </c>
      <c r="F27" s="10" t="inlineStr">
        <is>
          <t>https://www.amazon.com/dp/B01HDR72Q2</t>
        </is>
      </c>
      <c r="G27" s="11" t="n">
        <v>9.99</v>
      </c>
      <c r="H27" s="8" t="inlineStr">
        <is>
          <t>listed</t>
        </is>
      </c>
      <c r="I27" s="9" t="inlineStr">
        <is>
          <t>Stands the four DRV8833 boards, both 6 V regulators, the 5 V regulator, the ADS1115 and the amplifier off the electronics tray.</t>
        </is>
      </c>
      <c r="J27" s="12">
        <f>B27*G27</f>
        <v/>
      </c>
    </row>
    <row r="28">
      <c r="A28" s="8" t="inlineStr">
        <is>
          <t>H27</t>
        </is>
      </c>
      <c r="B28" s="8" t="n">
        <v>1</v>
      </c>
      <c r="C28" s="9" t="inlineStr">
        <is>
          <t>Hook-and-loop cinch straps, 25 mm x 400 mm, pack of 6</t>
        </is>
      </c>
      <c r="D28" s="8" t="inlineStr">
        <is>
          <t>MECCANIXITY cinch straps</t>
        </is>
      </c>
      <c r="E28" s="8" t="inlineStr">
        <is>
          <t>Amazon</t>
        </is>
      </c>
      <c r="F28" s="10" t="inlineStr">
        <is>
          <t>https://www.amazon.com/dp/B0F43TNSM2</t>
        </is>
      </c>
      <c r="G28" s="11" t="n">
        <v>7.59</v>
      </c>
      <c r="H28" s="8" t="inlineStr">
        <is>
          <t>listed</t>
        </is>
      </c>
      <c r="I28" s="9" t="inlineStr">
        <is>
          <t>Two across the battery on the body_lower shelf, anchored in the printed strap slots. One strap does not reach round the battery on its own.</t>
        </is>
      </c>
      <c r="J28" s="12">
        <f>B28*G28</f>
        <v/>
      </c>
    </row>
    <row r="29">
      <c r="A29" s="8" t="inlineStr">
        <is>
          <t>H28</t>
        </is>
      </c>
      <c r="B29" s="8" t="n">
        <v>1</v>
      </c>
      <c r="C29" s="9" t="inlineStr">
        <is>
          <t>Cable ties, 8 inch, pack of 100</t>
        </is>
      </c>
      <c r="D29" s="8" t="inlineStr">
        <is>
          <t>Skalon 8 inch cable ties</t>
        </is>
      </c>
      <c r="E29" s="8" t="inlineStr">
        <is>
          <t>Amazon</t>
        </is>
      </c>
      <c r="F29" s="10" t="inlineStr">
        <is>
          <t>https://www.amazon.com/dp/B09PJ8L58G</t>
        </is>
      </c>
      <c r="G29" s="11" t="n">
        <v>3.99</v>
      </c>
      <c r="H29" s="8" t="inlineStr">
        <is>
          <t>listed</t>
        </is>
      </c>
      <c r="I29" s="9" t="inlineStr">
        <is>
          <t>Harness bundling, strain relief at the slip ring and every leg pass-through.</t>
        </is>
      </c>
      <c r="J29" s="12">
        <f>B29*G29</f>
        <v/>
      </c>
    </row>
    <row r="30">
      <c r="A30" s="8" t="inlineStr">
        <is>
          <t>H29</t>
        </is>
      </c>
      <c r="B30" s="8" t="n">
        <v>1</v>
      </c>
      <c r="C30" s="9" t="inlineStr">
        <is>
          <t>Adhesive cable-tie mounts, 3/4 inch, pack of 100</t>
        </is>
      </c>
      <c r="D30" s="8" t="inlineStr">
        <is>
          <t>GTSE tie mounts</t>
        </is>
      </c>
      <c r="E30" s="8" t="inlineStr">
        <is>
          <t>Amazon</t>
        </is>
      </c>
      <c r="F30" s="10" t="inlineStr">
        <is>
          <t>https://www.amazon.com/dp/B0877BD2SH</t>
        </is>
      </c>
      <c r="G30" s="11" t="n">
        <v>14.99</v>
      </c>
      <c r="H30" s="8" t="inlineStr">
        <is>
          <t>listed</t>
        </is>
      </c>
      <c r="I30" s="9" t="inlineStr">
        <is>
          <t>Route the harness along the inside of the body rings and the legs; each mount also takes an M3 screw if the adhesive lets go.</t>
        </is>
      </c>
      <c r="J30" s="12">
        <f>B30*G30</f>
        <v/>
      </c>
    </row>
    <row r="31">
      <c r="A31" s="8" t="inlineStr">
        <is>
          <t>H30</t>
        </is>
      </c>
      <c r="B31" s="8" t="n">
        <v>1</v>
      </c>
      <c r="C31" s="9" t="inlineStr">
        <is>
          <t>Closed-cell foam tape, 3/4 x 3/8 inch x 17 ft</t>
        </is>
      </c>
      <c r="D31" s="8" t="inlineStr">
        <is>
          <t>Simply Conserve foam tape</t>
        </is>
      </c>
      <c r="E31" s="8" t="inlineStr">
        <is>
          <t>Amazon</t>
        </is>
      </c>
      <c r="F31" s="10" t="inlineStr">
        <is>
          <t>https://www.amazon.com/dp/B00TRUC19C</t>
        </is>
      </c>
      <c r="G31" s="11" t="n">
        <v>4.99</v>
      </c>
      <c r="H31" s="8" t="inlineStr">
        <is>
          <t>allowance</t>
        </is>
      </c>
      <c r="I31" s="9" t="inlineStr">
        <is>
          <t>Under the battery, behind the speaker and around the dome plate. The buy-box price was not extractable on 2026-09-12; $4.99 was the first listed price.</t>
        </is>
      </c>
      <c r="J31" s="12">
        <f>B31*G31</f>
        <v/>
      </c>
    </row>
    <row r="32">
      <c r="A32" s="8" t="inlineStr">
        <is>
          <t>H31</t>
        </is>
      </c>
      <c r="B32" s="8" t="n">
        <v>5</v>
      </c>
      <c r="C32" s="9" t="inlineStr">
        <is>
          <t>Filament, Bambu PETG Basic, 1.75 mm, 1 kg - structural prints</t>
        </is>
      </c>
      <c r="D32" s="8" t="inlineStr">
        <is>
          <t>Bambu PETG Basic</t>
        </is>
      </c>
      <c r="E32" s="8" t="inlineStr">
        <is>
          <t>Bambu Lab US store</t>
        </is>
      </c>
      <c r="F32" s="10" t="inlineStr">
        <is>
          <t>https://us.store.bambulab.com/products/petg-basic</t>
        </is>
      </c>
      <c r="G32" s="11" t="n">
        <v>17.99</v>
      </c>
      <c r="H32" s="8" t="inlineStr">
        <is>
          <t>listed</t>
        </is>
      </c>
      <c r="I32" s="9" t="inlineStr">
        <is>
          <t>Body rings, legs, feet, tray and head drive at 0.20 mm layers, five walls, 30-40 percent gyroid. loads.md estimates 4-5 kg for the whole robot.</t>
        </is>
      </c>
      <c r="J32" s="12">
        <f>B32*G32</f>
        <v/>
      </c>
    </row>
    <row r="33">
      <c r="A33" s="8" t="inlineStr">
        <is>
          <t>H32</t>
        </is>
      </c>
      <c r="B33" s="8" t="n">
        <v>1</v>
      </c>
      <c r="C33" s="9" t="inlineStr">
        <is>
          <t>Filament, Bambu PETG-CF, 1.75 mm, 1 kg - shoulder bosses (optional)</t>
        </is>
      </c>
      <c r="D33" s="8" t="inlineStr">
        <is>
          <t>Bambu PETG-CF</t>
        </is>
      </c>
      <c r="E33" s="8" t="inlineStr">
        <is>
          <t>Bambu Lab US store</t>
        </is>
      </c>
      <c r="F33" s="10" t="inlineStr">
        <is>
          <t>https://us.store.bambulab.com/products/petg-cf</t>
        </is>
      </c>
      <c r="G33" s="11" t="n">
        <v>31.99</v>
      </c>
      <c r="H33" s="8" t="inlineStr">
        <is>
          <t>listed</t>
        </is>
      </c>
      <c r="I33" s="9" t="inlineStr">
        <is>
          <t>Optional: highest X-Y bending strength (83 MPa) for the shoulder bosses and leg cores. Needs a hardened steel nozzle and is not AMS lite compatible.</t>
        </is>
      </c>
      <c r="J33" s="12">
        <f>B33*G33</f>
        <v/>
      </c>
    </row>
    <row r="34">
      <c r="A34" s="8" t="inlineStr">
        <is>
          <t>H33</t>
        </is>
      </c>
      <c r="B34" s="8" t="n">
        <v>1</v>
      </c>
      <c r="C34" s="9" t="inlineStr">
        <is>
          <t>Filament, Bambu PLA Basic, 1.75 mm, 1 kg - dome (optional finish)</t>
        </is>
      </c>
      <c r="D34" s="8" t="inlineStr">
        <is>
          <t>Bambu PLA Basic</t>
        </is>
      </c>
      <c r="E34" s="8" t="inlineStr">
        <is>
          <t>Bambu Lab US store</t>
        </is>
      </c>
      <c r="F34" s="10" t="inlineStr">
        <is>
          <t>https://us.store.bambulab.com/products/pla-basic-filament</t>
        </is>
      </c>
      <c r="G34" s="11" t="n">
        <v>19.99</v>
      </c>
      <c r="H34" s="8" t="inlineStr">
        <is>
          <t>listed</t>
        </is>
      </c>
      <c r="I34" s="9" t="inlineStr">
        <is>
          <t>Optional: the dome carries only its own weight on the ring bearing, and PLA holds the panel detail better. Keep the robot out of a hot car either way.</t>
        </is>
      </c>
      <c r="J34" s="12">
        <f>B34*G34</f>
        <v/>
      </c>
    </row>
    <row r="35">
      <c r="C35" s="5" t="inlineStr">
        <is>
          <t>Sheet total</t>
        </is>
      </c>
      <c r="J35" s="6">
        <f>SUM(J2:J34)</f>
        <v/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0" customWidth="1" min="3" max="3"/>
    <col width="12" customWidth="1" min="4" max="4"/>
    <col width="9" customWidth="1" min="5" max="5"/>
    <col width="9" customWidth="1" min="6" max="6"/>
    <col width="9" customWidth="1" min="7" max="7"/>
    <col width="14" customWidth="1" min="8" max="8"/>
    <col width="16" customWidth="1" min="9" max="9"/>
    <col width="12" customWidth="1" min="10" max="10"/>
    <col width="30" customWidth="1" min="11" max="11"/>
    <col width="60" customWidth="1" min="12" max="12"/>
  </cols>
  <sheetData>
    <row r="1" ht="30" customHeight="1">
      <c r="A1" s="7" t="inlineStr">
        <is>
          <t>STL file</t>
        </is>
      </c>
      <c r="B1" s="7" t="inlineStr">
        <is>
          <t>Qty</t>
        </is>
      </c>
      <c r="C1" s="7" t="inlineStr">
        <is>
          <t>Material</t>
        </is>
      </c>
      <c r="D1" s="7" t="inlineStr">
        <is>
          <t>Mirror for 2nd</t>
        </is>
      </c>
      <c r="E1" s="7" t="inlineStr">
        <is>
          <t>X mm</t>
        </is>
      </c>
      <c r="F1" s="7" t="inlineStr">
        <is>
          <t>Y mm</t>
        </is>
      </c>
      <c r="G1" s="7" t="inlineStr">
        <is>
          <t>Z mm</t>
        </is>
      </c>
      <c r="H1" s="7" t="inlineStr">
        <is>
          <t>Solid mass g (bound)</t>
        </is>
      </c>
      <c r="I1" s="7" t="inlineStr">
        <is>
          <t>Sliced mass g (H2D, incl. support)</t>
        </is>
      </c>
      <c r="J1" s="7" t="inlineStr">
        <is>
          <t>Sliced time h</t>
        </is>
      </c>
      <c r="K1" s="7" t="inlineStr">
        <is>
          <t>Orientation</t>
        </is>
      </c>
      <c r="L1" s="7" t="inlineStr">
        <is>
          <t>Notes</t>
        </is>
      </c>
    </row>
    <row r="2">
      <c r="A2" s="8" t="inlineStr">
        <is>
          <t>stl/dome.stl</t>
        </is>
      </c>
      <c r="B2" s="8" t="n">
        <v>1</v>
      </c>
      <c r="C2" s="8" t="inlineStr">
        <is>
          <t>PETG</t>
        </is>
      </c>
      <c r="D2" s="8" t="inlineStr">
        <is>
          <t>no</t>
        </is>
      </c>
      <c r="E2" s="8" t="n">
        <v>316.83</v>
      </c>
      <c r="F2" s="8" t="n">
        <v>316.83</v>
      </c>
      <c r="G2" s="8" t="n">
        <v>199.139</v>
      </c>
      <c r="H2" s="8" t="n">
        <v>1304.3</v>
      </c>
      <c r="I2" s="8" t="n">
        <v>1243.4</v>
      </c>
      <c r="J2" s="8" t="n">
        <v>35.36</v>
      </c>
      <c r="K2" s="9" t="inlineStr">
        <is>
          <t>Lip down on the plate; crown up</t>
        </is>
      </c>
      <c r="L2" s="9" t="inlineStr">
        <is>
          <t>One-piece detailed dome with display cutouts; tree supports under the top disc only</t>
        </is>
      </c>
    </row>
    <row r="3">
      <c r="A3" s="8" t="inlineStr">
        <is>
          <t>stl/body_upper.stl</t>
        </is>
      </c>
      <c r="B3" s="8" t="n">
        <v>1</v>
      </c>
      <c r="C3" s="8" t="inlineStr">
        <is>
          <t>PETG</t>
        </is>
      </c>
      <c r="D3" s="8" t="inlineStr">
        <is>
          <t>no</t>
        </is>
      </c>
      <c r="E3" s="8" t="n">
        <v>317</v>
      </c>
      <c r="F3" s="8" t="n">
        <v>317</v>
      </c>
      <c r="G3" s="8" t="n">
        <v>264</v>
      </c>
      <c r="H3" s="8" t="n">
        <v>3445.3</v>
      </c>
      <c r="I3" s="8" t="n">
        <v>3115.1</v>
      </c>
      <c r="J3" s="8" t="n">
        <v>107.62</v>
      </c>
      <c r="K3" s="9" t="inlineStr">
        <is>
          <t>Bottom (mating lip) down</t>
        </is>
      </c>
      <c r="L3" s="9" t="inlineStr">
        <is>
          <t>Upper body ring with integral electronics deck, shoulder bosses, head ring and lazy-susan seat; no brim</t>
        </is>
      </c>
    </row>
    <row r="4">
      <c r="A4" s="8" t="inlineStr">
        <is>
          <t>stl/body_lower.stl</t>
        </is>
      </c>
      <c r="B4" s="8" t="n">
        <v>1</v>
      </c>
      <c r="C4" s="8" t="inlineStr">
        <is>
          <t>PETG</t>
        </is>
      </c>
      <c r="D4" s="8" t="inlineStr">
        <is>
          <t>no</t>
        </is>
      </c>
      <c r="E4" s="8" t="n">
        <v>317</v>
      </c>
      <c r="F4" s="8" t="n">
        <v>317</v>
      </c>
      <c r="G4" s="8" t="n">
        <v>141.1</v>
      </c>
      <c r="H4" s="8" t="n">
        <v>2143.5</v>
      </c>
      <c r="I4" s="8" t="n">
        <v>1939.4</v>
      </c>
      <c r="J4" s="8" t="n">
        <v>59.24</v>
      </c>
      <c r="K4" s="9" t="inlineStr">
        <is>
          <t>Skirt bottom down</t>
        </is>
      </c>
      <c r="L4" s="9" t="inlineStr">
        <is>
          <t>Lower body ring, skirt, battery bay, centre-leg socket, electronics tray; no brim</t>
        </is>
      </c>
    </row>
    <row r="5">
      <c r="A5" s="8" t="inlineStr">
        <is>
          <t>stl/leg_upper.stl</t>
        </is>
      </c>
      <c r="B5" s="8" t="n">
        <v>2</v>
      </c>
      <c r="C5" s="8" t="inlineStr">
        <is>
          <t>PETG</t>
        </is>
      </c>
      <c r="D5" s="8" t="inlineStr">
        <is>
          <t>yes</t>
        </is>
      </c>
      <c r="E5" s="8" t="n">
        <v>289.7</v>
      </c>
      <c r="F5" s="8" t="n">
        <v>139.4</v>
      </c>
      <c r="G5" s="8" t="n">
        <v>50.79</v>
      </c>
      <c r="H5" s="8" t="n">
        <v>1445.2</v>
      </c>
      <c r="I5" s="8" t="n">
        <v>612.4</v>
      </c>
      <c r="J5" s="8" t="n">
        <v>20.04</v>
      </c>
      <c r="K5" s="9" t="inlineStr">
        <is>
          <t>Shoulder face down</t>
        </is>
      </c>
      <c r="L5" s="9" t="inlineStr">
        <is>
          <t>Left file supplied; mirror in the slicer for the right leg</t>
        </is>
      </c>
    </row>
    <row r="6">
      <c r="A6" s="8" t="inlineStr">
        <is>
          <t>stl/leg_lower.stl</t>
        </is>
      </c>
      <c r="B6" s="8" t="n">
        <v>2</v>
      </c>
      <c r="C6" s="8" t="inlineStr">
        <is>
          <t>PETG</t>
        </is>
      </c>
      <c r="D6" s="8" t="inlineStr">
        <is>
          <t>yes</t>
        </is>
      </c>
      <c r="E6" s="8" t="n">
        <v>232</v>
      </c>
      <c r="F6" s="8" t="n">
        <v>100</v>
      </c>
      <c r="G6" s="8" t="n">
        <v>58.25</v>
      </c>
      <c r="H6" s="8" t="n">
        <v>666</v>
      </c>
      <c r="I6" s="8" t="n">
        <v>314.5</v>
      </c>
      <c r="J6" s="8" t="n">
        <v>11.2</v>
      </c>
      <c r="K6" s="9" t="inlineStr">
        <is>
          <t>Splice face down</t>
        </is>
      </c>
      <c r="L6" s="9" t="inlineStr">
        <is>
          <t>Left file supplied; mirror in the slicer for the right leg</t>
        </is>
      </c>
    </row>
    <row r="7">
      <c r="A7" s="8" t="inlineStr">
        <is>
          <t>stl/foot_outer.stl</t>
        </is>
      </c>
      <c r="B7" s="8" t="n">
        <v>2</v>
      </c>
      <c r="C7" s="8" t="inlineStr">
        <is>
          <t>PETG</t>
        </is>
      </c>
      <c r="D7" s="8" t="inlineStr">
        <is>
          <t>yes</t>
        </is>
      </c>
      <c r="E7" s="8" t="n">
        <v>181.8</v>
      </c>
      <c r="F7" s="8" t="n">
        <v>265</v>
      </c>
      <c r="G7" s="8" t="n">
        <v>105.2</v>
      </c>
      <c r="H7" s="8" t="n">
        <v>855</v>
      </c>
      <c r="I7" s="8" t="n">
        <v>680.9</v>
      </c>
      <c r="J7" s="8" t="n">
        <v>19.59</v>
      </c>
      <c r="K7" s="9" t="inlineStr">
        <is>
          <t>Sole down</t>
        </is>
      </c>
      <c r="L7" s="9" t="inlineStr">
        <is>
          <t>Left file supplied; mirror in the slicer for the right foot; two motors and four wheels</t>
        </is>
      </c>
    </row>
    <row r="8">
      <c r="A8" s="8" t="inlineStr">
        <is>
          <t>stl/leg_center.stl</t>
        </is>
      </c>
      <c r="B8" s="8" t="n">
        <v>1</v>
      </c>
      <c r="C8" s="8" t="inlineStr">
        <is>
          <t>PETG</t>
        </is>
      </c>
      <c r="D8" s="8" t="inlineStr">
        <is>
          <t>no</t>
        </is>
      </c>
      <c r="E8" s="8" t="n">
        <v>140</v>
      </c>
      <c r="F8" s="8" t="n">
        <v>100</v>
      </c>
      <c r="G8" s="8" t="n">
        <v>34.292</v>
      </c>
      <c r="H8" s="8" t="n">
        <v>246.8</v>
      </c>
      <c r="I8" s="8" t="n">
        <v>128.3</v>
      </c>
      <c r="J8" s="8" t="n">
        <v>4.25</v>
      </c>
      <c r="K8" s="9" t="inlineStr">
        <is>
          <t>Body flange down</t>
        </is>
      </c>
      <c r="L8" s="9" t="inlineStr">
        <is>
          <t>Centre leg with caster pivot boss</t>
        </is>
      </c>
    </row>
    <row r="9">
      <c r="A9" s="8" t="inlineStr">
        <is>
          <t>stl/foot_center.stl</t>
        </is>
      </c>
      <c r="B9" s="8" t="n">
        <v>1</v>
      </c>
      <c r="C9" s="8" t="inlineStr">
        <is>
          <t>PETG</t>
        </is>
      </c>
      <c r="D9" s="8" t="inlineStr">
        <is>
          <t>no</t>
        </is>
      </c>
      <c r="E9" s="8" t="n">
        <v>123.3</v>
      </c>
      <c r="F9" s="8" t="n">
        <v>180.2</v>
      </c>
      <c r="G9" s="8" t="n">
        <v>119.9</v>
      </c>
      <c r="H9" s="8" t="n">
        <v>510.1</v>
      </c>
      <c r="I9" s="8" t="n">
        <v>330.7</v>
      </c>
      <c r="J9" s="8" t="n">
        <v>9.48</v>
      </c>
      <c r="K9" s="9" t="inlineStr">
        <is>
          <t>Sole down</t>
        </is>
      </c>
      <c r="L9" s="9" t="inlineStr">
        <is>
          <t>Centre foot with caster stem; two motors and four wheels</t>
        </is>
      </c>
    </row>
    <row r="10">
      <c r="A10" s="8" t="inlineStr">
        <is>
          <t>stl/head_drive.stl</t>
        </is>
      </c>
      <c r="B10" s="8" t="n">
        <v>1</v>
      </c>
      <c r="C10" s="8" t="inlineStr">
        <is>
          <t>PETG</t>
        </is>
      </c>
      <c r="D10" s="8" t="inlineStr">
        <is>
          <t>no</t>
        </is>
      </c>
      <c r="E10" s="8" t="n">
        <v>116.5</v>
      </c>
      <c r="F10" s="8" t="n">
        <v>72.283</v>
      </c>
      <c r="G10" s="8" t="n">
        <v>39.914</v>
      </c>
      <c r="H10" s="8" t="n">
        <v>106.8</v>
      </c>
      <c r="I10" s="8" t="n">
        <v>81.3</v>
      </c>
      <c r="J10" s="8" t="n">
        <v>3</v>
      </c>
      <c r="K10" s="9" t="inlineStr">
        <is>
          <t>Base down</t>
        </is>
      </c>
      <c r="L10" s="9" t="inlineStr">
        <is>
          <t>Pivoting friction-drive motor mount with tension screw</t>
        </is>
      </c>
    </row>
    <row r="11">
      <c r="A11" s="5" t="inlineStr">
        <is>
          <t>Totals (qty x per-part)</t>
        </is>
      </c>
      <c r="I11" s="5">
        <f>SUMPRODUCT(B2:B10,I2:I10)</f>
        <v/>
      </c>
      <c r="J11" s="5">
        <f>SUMPRODUCT(B2:B10,J2:J10)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2" customWidth="1" min="4" max="4"/>
    <col width="12" customWidth="1" min="5" max="5"/>
    <col width="50" customWidth="1" min="6" max="6"/>
  </cols>
  <sheetData>
    <row r="1" ht="30" customHeight="1">
      <c r="A1" s="7" t="inlineStr">
        <is>
          <t>Material</t>
        </is>
      </c>
      <c r="B1" s="7" t="inlineStr">
        <is>
          <t>Sliced mass g (qty applied)</t>
        </is>
      </c>
      <c r="C1" s="7" t="inlineStr">
        <is>
          <t>Spools of 1 kg (with 25 % waste)</t>
        </is>
      </c>
      <c r="D1" s="7" t="inlineStr">
        <is>
          <t>Spool USD</t>
        </is>
      </c>
      <c r="E1" s="7" t="inlineStr">
        <is>
          <t>Cost USD</t>
        </is>
      </c>
      <c r="F1" s="7" t="inlineStr">
        <is>
          <t>Source</t>
        </is>
      </c>
    </row>
    <row r="2">
      <c r="A2" t="inlineStr">
        <is>
          <t>PETG</t>
        </is>
      </c>
      <c r="B2" t="n">
        <v>10053.9</v>
      </c>
      <c r="C2">
        <f>ROUNDUP(B2*1.25/1000,0)</f>
        <v/>
      </c>
      <c r="D2" s="4" t="n">
        <v>24.99</v>
      </c>
      <c r="E2" s="4">
        <f>C2*D2</f>
        <v/>
      </c>
      <c r="F2" s="13" t="inlineStr">
        <is>
          <t>https://us.store.bambulab.com/products/petg-hf</t>
        </is>
      </c>
    </row>
    <row r="3">
      <c r="A3" s="5" t="inlineStr">
        <is>
          <t>Total</t>
        </is>
      </c>
      <c r="E3" s="4">
        <f>SUM(E2:E2)</f>
        <v/>
      </c>
    </row>
  </sheetData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70" customWidth="1" min="3" max="3"/>
  </cols>
  <sheetData>
    <row r="1" ht="30" customHeight="1">
      <c r="A1" s="7" t="inlineStr">
        <is>
          <t>Supplier</t>
        </is>
      </c>
      <c r="B1" s="7" t="inlineStr">
        <is>
          <t>Items</t>
        </is>
      </c>
      <c r="C1" s="7" t="inlineStr">
        <is>
          <t>URLs</t>
        </is>
      </c>
    </row>
    <row r="2">
      <c r="A2" t="inlineStr">
        <is>
          <t>Adafruit</t>
        </is>
      </c>
      <c r="B2" s="14" t="inlineStr">
        <is>
          <t>Raspberry Pi 4 Model B, 4 GB - control server, Wi-Fi, head displays, audio; Adafruit KB2040 (RP2040) - motor and NeoPixel controller; DRV8833 dual H-bridge - driver 1, left foot (lf-front, lf-rear); DRV8833 dual H-bridge - driver 2, right foot (rf-front, rf-rear); DRV8833 dual H-bridge - driver 3, centre foot (cf-front, cf-rear); DRV8833 dual H-bridge - driver 4, head friction drive (channel A only); PAM8302 mono class D amplifier, 2.5 W into 4 ohm - dome and body sound; ADS1115 16 bit 4 channel ADC, STEMMA QT - battery voltage sense; Slip ring, 12 wire, 2 A per wire - dome power and signals; Mini 0.8 inch 8x8 LED matrix with I2C backpack, yellow-green - front logic, upper window; Mini 0.8 inch 8x8 LED matrix with I2C backpack, yellow-green - front logic, lower window; Mini 0.8 inch 8x8 LED matrix with I2C backpack, red - rear logic, left half; Mini 0.8 inch 8x8 LED matrix with I2C backpack, red - rear logic, right half; 1.28 inch 240x240 round TFT, GC9A01A, EYESPI - radar eye; NeoPixel Jewel, 7 x 5050 RGB - front PSI; NeoPixel Jewel, 7 x 5050 RGB - rear PSI; Diffused 8 mm through-hole NeoPixels, pack of 5 - holoprojectors HP1, HP2, HP3; Speaker, 3 inch, 4 ohm 3 W - behind the front vent; TT gearmotor 1:48, 3-6 V - left foot, front; TT gearmotor 1:48, 3-6 V - left foot, rear; TT gearmotor 1:48, 3-6 V - right foot, front; TT gearmotor 1:48, 3-6 V - right foot, rear; TT gearmotor 1:48, 3-6 V - centre foot, front; TT gearmotor 1:48, 3-6 V - centre foot, rear; TT gearmotor 1:48, 3-6 V - head friction drive; Orange wheel for TT motor, 63 x 29 mm; JST-XH 2 pin cable matching pair, 2.5 mm pitch, 200 mm; USB A to USB C cable, 1 m - Pi to KB2040 power and serial; USB Type C plug breakout - 5 V feed into the Pi USB-C power input; Through-hole resistors, 100 ohm 5% 1/4 W, pack of 25; Through-hole resistors, 100 k ohm 5% 1/4 W, pack of 25; Through-hole resistors, 10 k ohm 5% 1/4 W, pack of 25; microSD card, 32 GB, A2 class - Raspberry Pi OS; Hall effect switch US5881LUA - optional dome index (home) sensor; Heat-set inserts M3 x 4 mm, brass, pack of 50; Nylon machine screw and stand-off set, M2.5 thread, 380 pieces</t>
        </is>
      </c>
      <c r="C2" s="14" t="inlineStr">
        <is>
          <t>https://www.adafruit.com/product/1085
https://www.adafruit.com/product/1195
https://www.adafruit.com/product/1314
https://www.adafruit.com/product/158
https://www.adafruit.com/product/1734
https://www.adafruit.com/product/2130
https://www.adafruit.com/product/2226
https://www.adafruit.com/product/2784
https://www.adafruit.com/product/2787
https://www.adafruit.com/product/3297
https://www.adafruit.com/product/3299
https://www.adafruit.com/product/3766
https://www.adafruit.com/product/3777
https://www.adafruit.com/product/4255
https://www.adafruit.com/product/4293
https://www.adafruit.com/product/4296
https://www.adafruit.com/product/4474
https://www.adafruit.com/product/4872
https://www.adafruit.com/product/5302
https://www.adafruit.com/product/5978
https://www.adafruit.com/product/6010
https://www.adafruit.com/product/6178
https://www.adafruit.com/product/870
https://www.adafruit.com/product/872</t>
        </is>
      </c>
    </row>
    <row r="3">
      <c r="A3" t="inlineStr">
        <is>
          <t>Amazon</t>
        </is>
      </c>
      <c r="B3" s="14" t="inlineStr">
        <is>
          <t>Ball bearings 6001-2RS, 12 x 28 x 8 mm, pack of 10; Nylon-insert lock nuts M12-1.75, DIN 985, stainless, pack of 20; Flanged bronze bushing, 12 mm bore x 16 mm OD x 20 mm, pack of 2; Dowel pins 6 x 30 mm, steel, pack of 50; Nylon-insert lock nuts M8-1.25, pack of 50; Heat-set inserts M5 x 9.5 mm, brass, pack of 50 (ruthex RX-M5x9.5); Socket cap screw M5 x 0.8 x 40 mm, stainless - head-drive tensioner; Knurled thumb nuts M5-0.8, 304 stainless, pack of 10; Compression spring 10 mm OD x 25 mm free length, 0.6 mm wire, 304 stainless, pack of 5; Socket cap screws M4 x 0.7 x 12 mm, 12.9 alloy, pack of 50; Heat-set inserts M4 x 8.1 mm, brass, pack of 50 (ruthex RX-M4x8.1); Socket and button head screw, nut and washer kit, M2 / M3 / M4, 1080 pieces; Nylon standoff kit M3, 260 pieces, 6-20 mm; Hook-and-loop cinch straps, 25 mm x 400 mm, pack of 6; Cable ties, 8 inch, pack of 100; Adhesive cable-tie mounts, 3/4 inch, pack of 100; Closed-cell foam tape, 3/4 x 3/8 inch x 17 ft</t>
        </is>
      </c>
      <c r="C3" s="14" t="inlineStr">
        <is>
          <t>https://us.amazon.com/Compression-Spring-Stainless-Length-Silver/dp/B0DK9C5YT5
https://www.amazon.com/dp/B00TRUC19C
https://www.amazon.com/dp/B01HDR72Q2
https://www.amazon.com/dp/B074TFLBFQ
https://www.amazon.com/dp/B076GVC92R
https://www.amazon.com/dp/B07GVQ8G23
https://www.amazon.com/dp/B07YSV66Y5
https://www.amazon.com/dp/B07YSVXWS8
https://www.amazon.com/dp/B0877BD2SH
https://www.amazon.com/dp/B09PJ8L58G
https://www.amazon.com/dp/B0CGDV5C3F
https://www.amazon.com/dp/B0CHMKL1DF
https://www.amazon.com/dp/B0D7PWCDWK
https://www.amazon.com/dp/B0DY4HF7N8
https://www.amazon.com/dp/B0F1YGKBSL
https://www.amazon.com/dp/B0F43TNSM2
https://www.amazon.com/dp/B0F8GZP628</t>
        </is>
      </c>
    </row>
    <row r="4">
      <c r="A4" t="inlineStr">
        <is>
          <t>BNTECHGO</t>
        </is>
      </c>
      <c r="B4" s="14" t="inlineStr">
        <is>
          <t>Silicone wire, 16 AWG, red and black, 25 ft each colour; Silicone wire, 22 AWG, six colours, 30 ft each</t>
        </is>
      </c>
      <c r="C4" s="14" t="inlineStr">
        <is>
          <t>https://bntechgo.com/bntechgo-16-gauge-silicone-wire-kit-ultra-flexible-50-ft-black-and-red-each-color-25-ft-high-temp-200-c-600v-16-awg-silicone-wire-252-strands-of-tinned-copper-wire-stranded-wire-stranded-wire-for-model-battery/
https://bntechgo.com/bntechgo-22-gauge-silicone-wire-kit-ultra-flexible-6-colors-each-30-ft-high-temp-200-c-600v-22-awg-silicone-wire-60-strands-of-tinned-copper-wire-stranded-wire-for-model-battery/</t>
        </is>
      </c>
    </row>
    <row r="5">
      <c r="A5" t="inlineStr">
        <is>
          <t>Bambu Lab US store</t>
        </is>
      </c>
      <c r="B5" s="14" t="inlineStr">
        <is>
          <t>Filament, Bambu PETG Basic, 1.75 mm, 1 kg - structural prints; Filament, Bambu PETG-CF, 1.75 mm, 1 kg - shoulder bosses (optional); Filament, Bambu PLA Basic, 1.75 mm, 1 kg - dome (optional finish)</t>
        </is>
      </c>
      <c r="C5" s="14" t="inlineStr">
        <is>
          <t>https://us.store.bambulab.com/products/petg-basic
https://us.store.bambulab.com/products/petg-cf
https://us.store.bambulab.com/products/pla-basic-filament</t>
        </is>
      </c>
    </row>
    <row r="6">
      <c r="A6" t="inlineStr">
        <is>
          <t>Bolt Depot</t>
        </is>
      </c>
      <c r="B6" s="14" t="inlineStr">
        <is>
          <t>Hex bolt M12-1.75 x 130 mm, class 8.8 zinc - shoulder pivot; Fender washer M12, 12 x 37 mm, zinc; Flat washer M12, zinc; Threaded rod M8 x 1.25, 1 m, zinc steel; Hex nut M8-1.25, class 8.8 zinc; Flat washer M8, zinc; Fender washer M8, 8 x 24 mm, zinc; Socket cap screw M5 x 0.8 x 12 mm, stainless 18-8; Hex nut M4-0.7, class 8.8 zinc; Flat washer M4, zinc</t>
        </is>
      </c>
      <c r="C6" s="14" t="inlineStr">
        <is>
          <t>https://boltdepot.com/Metric_socket_cap_Stainless_steel_18-8_(A-2)_5mm_x_0.8mm
https://boltdepot.com/Product-List?Units=Metric&amp;Category=Nuts&amp;Subcategory=Hex_nuts&amp;F_Diameter=4mm&amp;F_Thread_pitch=0.7mm&amp;Material=Steel&amp;Plating=Zinc
https://boltdepot.com/Product-List?Units=Metric&amp;Category=Nuts&amp;Subcategory=Hex_nuts&amp;F_Diameter=8mm&amp;F_Thread_pitch=1.25mm&amp;Material=Steel&amp;Plating=Zinc&amp;Grade=Class_8.8
https://boltdepot.com/Product-List?Units=Metric&amp;Category=Washers&amp;Subcategory=Fender_washers&amp;F_Size=12mm&amp;Material=Steel&amp;Plating=Zinc
https://boltdepot.com/Product-List?Units=Metric&amp;Category=Washers&amp;Subcategory=Fender_washers&amp;F_Size=8mm&amp;Material=Steel&amp;Plating=Zinc
https://boltdepot.com/Product-List?Units=Metric&amp;Category=Washers&amp;Subcategory=Flat_washers&amp;F_Size=12mm&amp;Material=Steel&amp;Plating=Zinc
https://boltdepot.com/Product-List?Units=Metric&amp;Category=Washers&amp;Subcategory=Flat_washers&amp;F_Size=4mm&amp;Material=Steel&amp;Plating=Zinc
https://boltdepot.com/Product-List?Units=Metric&amp;Category=Washers&amp;Subcategory=Flat_washers&amp;F_Size=8mm&amp;Material=Steel&amp;Plating=Zinc
https://boltdepot.com/Threaded_rod_Zinc_plated_steel_8mm_x_1.25mm
https://www.boltdepot.com/Metric_hex_bolts_Zinc_plated_class_8.8_steel_12mm_x_1.75mm.aspx</t>
        </is>
      </c>
    </row>
    <row r="7">
      <c r="A7" t="inlineStr">
        <is>
          <t>DigiKey</t>
        </is>
      </c>
      <c r="B7" s="14" t="inlineStr">
        <is>
          <t>Panel charge jack, 5.5 mm OD barrel, threaded bushing; Main power switch, SPST rocker, 20 A 12 V DC, snap-in; In-line ATO/ATC blade fuse holder, 20 A 32 V, 16 AWG leads; Fuse, ATO blade, 15 A 32 V - main, at the battery positive lead; Fuse, ATO blade, 3 A 32 V - charge port branch; Fuse, ATO blade, 3 A 32 V - 5 V regulator input; Fuse, ATO blade, 5 A 32 V - 6 V motor rail A input; Fuse, ATO blade, 5 A 32 V - 6 V motor rail B input; Fuse, ATO blade, 2 A 32 V - dome 5 V feed through the slip ring; F2 female spade terminal, 0.250 inch, insulated crimp, 14-16 AWG; Anderson Powerpole 15-45 A housing (two red, two black); Anderson Powerpole contact, 15 A, 16-20 AWG, silver; Through-hole resistor, 15 k ohm 5% 1/4 W</t>
        </is>
      </c>
      <c r="C7" s="14" t="inlineStr">
        <is>
          <t>https://www.digikey.com/en/products/detail/anderson-power-products-inc/1327-BK/10650475
https://www.digikey.com/en/products/detail/anderson-power-products-inc/1332-BK/10650021
https://www.digikey.com/en/products/detail/carling-technologies/V1D2S00B-GZCXX-1XX-XFWD1/11587384
https://www.digikey.com/en/products/detail/littelfuse-commercial-vehicle-products/FHAC0001ZXJ/2004062
https://www.digikey.com/en/products/detail/littelfuse-inc/0287002-PXCN/3102552
https://www.digikey.com/en/products/detail/littelfuse-inc/0287003-PXCN/3102553
https://www.digikey.com/en/products/detail/littelfuse-inc/0287005-PXCN/2519811
https://www.digikey.com/en/products/detail/littelfuse-inc/0287015.PXCN/2519816
https://www.digikey.com/en/products/detail/stackpole-electronics-inc/CF14JT15K0/1741298
https://www.digikey.com/en/products/detail/switchcraft-inc/L722A/241928
https://www.digikey.com/en/products/detail/te-connectivity-amp-connectors/3-520408-2/14800982</t>
        </is>
      </c>
    </row>
    <row r="8">
      <c r="A8" t="inlineStr">
        <is>
          <t>Pololu</t>
        </is>
      </c>
      <c r="B8" s="14" t="inlineStr">
        <is>
          <t>Pololu D36V50F5 step-down regulator, 12 V to 5 V 5.5 A - Pi, displays, NeoPixels, amplifier; Pololu D36V50F6 step-down regulator, 12 V to 6 V 5.5 A - motor rail A (drivers U1 and U3); Pololu D36V50F6 step-down regulator, 12 V to 6 V 5.5 A - motor rail B (drivers U2 and U4)</t>
        </is>
      </c>
      <c r="C8" s="14" t="inlineStr">
        <is>
          <t>https://www.pololu.com/product/4091
https://www.pololu.com/product/4092</t>
        </is>
      </c>
    </row>
    <row r="9">
      <c r="A9" t="inlineStr">
        <is>
          <t>PowerStream</t>
        </is>
      </c>
      <c r="B9" s="14" t="inlineStr">
        <is>
          <t>SLA charger, 3 stage, 12 V 1.5 A, 5.5 x 2.1 mm centre-positive barrel plug</t>
        </is>
      </c>
      <c r="C9" s="14" t="inlineStr">
        <is>
          <t>https://www.powerstream.com/12V-car-charger.htm</t>
        </is>
      </c>
    </row>
    <row r="10">
      <c r="A10" t="inlineStr">
        <is>
          <t>TRC Electronics</t>
        </is>
      </c>
      <c r="B10" s="14" t="inlineStr">
        <is>
          <t>Battery, 12 V 7 Ah sealed lead acid, F2 terminals</t>
        </is>
      </c>
      <c r="C10" s="14" t="inlineStr">
        <is>
          <t>https://www.trcelectronics.com/products/powersonic-ps-1270-f2</t>
        </is>
      </c>
    </row>
    <row r="11">
      <c r="A11" t="inlineStr">
        <is>
          <t>WW Hardware</t>
        </is>
      </c>
      <c r="B11" s="14" t="inlineStr">
        <is>
          <t>Lazy susan ring bearing, 9 inch round steel, 228.6 mm OD, 114.3 mm centre hole</t>
        </is>
      </c>
      <c r="C11" s="14" t="inlineStr">
        <is>
          <t>https://www.wwhardware.com/triangle-flat-lazy-susan-bearing-9-round-tr09c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2026-09-12T22:46:32Z</dcterms:created>
  <dcterms:modified xmlns:dcterms="http://purl.org/dc/terms/" xmlns:xsi="http://www.w3.org/2001/XMLSchema-instance" xsi:type="dcterms:W3CDTF">2026-09-12T22:46:32Z</dcterms:modified>
</cp:coreProperties>
</file>